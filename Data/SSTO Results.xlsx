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565CEA7-898C-4740-8BA7-F56C65C830C0}" xr6:coauthVersionLast="47" xr6:coauthVersionMax="47" xr10:uidLastSave="{00000000-0000-0000-0000-000000000000}"/>
  <bookViews>
    <workbookView xWindow="-98" yWindow="-98" windowWidth="21795" windowHeight="12975" xr2:uid="{522123E6-8993-4BC1-82B2-68B881BAE5F3}"/>
  </bookViews>
  <sheets>
    <sheet name="Dashboard" sheetId="6" r:id="rId1"/>
    <sheet name="Pivot Analysis" sheetId="3" r:id="rId2"/>
    <sheet name="Comparison" sheetId="4" r:id="rId3"/>
    <sheet name="Surface Plot" sheetId="5" r:id="rId4"/>
    <sheet name="ssto_results" sheetId="2" r:id="rId5"/>
    <sheet name="Calculator" sheetId="1" r:id="rId6"/>
  </sheets>
  <definedNames>
    <definedName name="ExternalData_1" localSheetId="4" hidden="1">ssto_results!$A$1:$C$144</definedName>
  </definedNames>
  <calcPr calcId="191029"/>
  <pivotCaches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2" i="4"/>
  <c r="C3" i="4"/>
  <c r="C4" i="4"/>
  <c r="C5" i="4"/>
  <c r="C6" i="4"/>
  <c r="C7" i="4"/>
  <c r="C8" i="4"/>
  <c r="C9" i="4"/>
  <c r="C10" i="4"/>
  <c r="C11" i="4"/>
  <c r="C12" i="4"/>
  <c r="C2" i="4"/>
  <c r="B3" i="4"/>
  <c r="B4" i="4"/>
  <c r="B5" i="4"/>
  <c r="B6" i="4"/>
  <c r="B7" i="4"/>
  <c r="B8" i="4"/>
  <c r="B9" i="4"/>
  <c r="B10" i="4"/>
  <c r="B11" i="4"/>
  <c r="B12" i="4"/>
  <c r="B2" i="4"/>
  <c r="B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44FB17-BE71-4E5A-B024-CAD4130DD7E9}" keepAlive="1" name="Query - ssto_results" description="Connection to the 'ssto_results' query in the workbook." type="5" refreshedVersion="8" background="1" saveData="1">
    <dbPr connection="Provider=Microsoft.Mashup.OleDb.1;Data Source=$Workbook$;Location=ssto_results;Extended Properties=&quot;&quot;" command="SELECT * FROM [ssto_results]"/>
  </connection>
</connections>
</file>

<file path=xl/sharedStrings.xml><?xml version="1.0" encoding="utf-8"?>
<sst xmlns="http://schemas.openxmlformats.org/spreadsheetml/2006/main" count="24" uniqueCount="16">
  <si>
    <t>Isp_s</t>
  </si>
  <si>
    <t>epsilon</t>
  </si>
  <si>
    <t>payloadFraction</t>
  </si>
  <si>
    <t>DeltaV</t>
  </si>
  <si>
    <t>g0</t>
  </si>
  <si>
    <t>Isp</t>
  </si>
  <si>
    <t>Chemical</t>
  </si>
  <si>
    <t>Row Labels</t>
  </si>
  <si>
    <t>Grand Total</t>
  </si>
  <si>
    <t>Sum of payloadFraction</t>
  </si>
  <si>
    <t>Column Labels</t>
  </si>
  <si>
    <t>Nuclear</t>
  </si>
  <si>
    <t>Epsilon</t>
  </si>
  <si>
    <t>Chemical(Isp=450)</t>
  </si>
  <si>
    <t>Nuclear(Isp=800)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</si>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</sst>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[SSTO Results.xlsx]Pivot Analysis!PivotTable1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Analysis'!$B$1:$B$2</c:f>
              <c:strCache>
                <c:ptCount val="1"/>
                <c:pt idx="0">
                  <c:v>0.05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Analysis'!$B$3:$B$16</c:f>
              <c:numCache>
                <c:formatCode>General</c:formatCode>
                <c:ptCount val="13"/>
                <c:pt idx="0">
                  <c:v>-9.5139999999999999E-3</c:v>
                </c:pt>
                <c:pt idx="1">
                  <c:v>1.5428000000000001E-2</c:v>
                </c:pt>
                <c:pt idx="2">
                  <c:v>4.3212E-2</c:v>
                </c:pt>
                <c:pt idx="3">
                  <c:v>7.2451000000000002E-2</c:v>
                </c:pt>
                <c:pt idx="4">
                  <c:v>0.102145</c:v>
                </c:pt>
                <c:pt idx="5">
                  <c:v>0.13161200000000001</c:v>
                </c:pt>
                <c:pt idx="6">
                  <c:v>0.160411</c:v>
                </c:pt>
                <c:pt idx="7">
                  <c:v>0.18826799999999999</c:v>
                </c:pt>
                <c:pt idx="8">
                  <c:v>0.215028</c:v>
                </c:pt>
                <c:pt idx="9">
                  <c:v>0.24061199999999999</c:v>
                </c:pt>
                <c:pt idx="10">
                  <c:v>0.26499699999999998</c:v>
                </c:pt>
                <c:pt idx="11">
                  <c:v>0.28819099999999997</c:v>
                </c:pt>
                <c:pt idx="12">
                  <c:v>0.310226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3-48A7-9E62-91ABAA36A793}"/>
            </c:ext>
          </c:extLst>
        </c:ser>
        <c:ser>
          <c:idx val="1"/>
          <c:order val="1"/>
          <c:tx>
            <c:strRef>
              <c:f>'Pivot Analysis'!$C$1:$C$2</c:f>
              <c:strCache>
                <c:ptCount val="1"/>
                <c:pt idx="0">
                  <c:v>0.06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Analysis'!$C$3:$C$16</c:f>
              <c:numCache>
                <c:formatCode>General</c:formatCode>
                <c:ptCount val="13"/>
                <c:pt idx="0">
                  <c:v>-2.0253E-2</c:v>
                </c:pt>
                <c:pt idx="1">
                  <c:v>4.9540000000000001E-3</c:v>
                </c:pt>
                <c:pt idx="2">
                  <c:v>3.3033E-2</c:v>
                </c:pt>
                <c:pt idx="3">
                  <c:v>6.2584000000000001E-2</c:v>
                </c:pt>
                <c:pt idx="4">
                  <c:v>9.2592999999999995E-2</c:v>
                </c:pt>
                <c:pt idx="5">
                  <c:v>0.122374</c:v>
                </c:pt>
                <c:pt idx="6">
                  <c:v>0.151479</c:v>
                </c:pt>
                <c:pt idx="7">
                  <c:v>0.17963299999999999</c:v>
                </c:pt>
                <c:pt idx="8">
                  <c:v>0.206677</c:v>
                </c:pt>
                <c:pt idx="9">
                  <c:v>0.23253399999999999</c:v>
                </c:pt>
                <c:pt idx="10">
                  <c:v>0.25717800000000002</c:v>
                </c:pt>
                <c:pt idx="11">
                  <c:v>0.28061900000000001</c:v>
                </c:pt>
                <c:pt idx="12">
                  <c:v>0.30288799999999999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43-48A7-9E62-91ABAA36A793}"/>
            </c:ext>
          </c:extLst>
        </c:ser>
        <c:ser>
          <c:idx val="2"/>
          <c:order val="2"/>
          <c:tx>
            <c:strRef>
              <c:f>'Pivot Analysis'!$D$1:$D$2</c:f>
              <c:strCache>
                <c:ptCount val="1"/>
                <c:pt idx="0">
                  <c:v>0.07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Analysis'!$D$3:$D$16</c:f>
              <c:numCache>
                <c:formatCode>General</c:formatCode>
                <c:ptCount val="13"/>
                <c:pt idx="0">
                  <c:v>-3.1223999999999998E-2</c:v>
                </c:pt>
                <c:pt idx="1">
                  <c:v>-5.7460000000000002E-3</c:v>
                </c:pt>
                <c:pt idx="2">
                  <c:v>2.2636E-2</c:v>
                </c:pt>
                <c:pt idx="3">
                  <c:v>5.2504000000000002E-2</c:v>
                </c:pt>
                <c:pt idx="4">
                  <c:v>8.2836000000000007E-2</c:v>
                </c:pt>
                <c:pt idx="5">
                  <c:v>0.112937</c:v>
                </c:pt>
                <c:pt idx="6">
                  <c:v>0.14235600000000001</c:v>
                </c:pt>
                <c:pt idx="7">
                  <c:v>0.17081199999999999</c:v>
                </c:pt>
                <c:pt idx="8">
                  <c:v>0.19814699999999999</c:v>
                </c:pt>
                <c:pt idx="9">
                  <c:v>0.22428100000000001</c:v>
                </c:pt>
                <c:pt idx="10">
                  <c:v>0.24918999999999999</c:v>
                </c:pt>
                <c:pt idx="11">
                  <c:v>0.27288299999999999</c:v>
                </c:pt>
                <c:pt idx="12">
                  <c:v>0.29539300000000002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43-48A7-9E62-91ABAA36A793}"/>
            </c:ext>
          </c:extLst>
        </c:ser>
        <c:ser>
          <c:idx val="3"/>
          <c:order val="3"/>
          <c:tx>
            <c:strRef>
              <c:f>'Pivot Analysis'!$E$1:$E$2</c:f>
              <c:strCache>
                <c:ptCount val="1"/>
                <c:pt idx="0">
                  <c:v>0.08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Analysis'!$E$3:$E$16</c:f>
              <c:numCache>
                <c:formatCode>General</c:formatCode>
                <c:ptCount val="13"/>
                <c:pt idx="0">
                  <c:v>-4.2432999999999998E-2</c:v>
                </c:pt>
                <c:pt idx="1">
                  <c:v>-1.6677999999999998E-2</c:v>
                </c:pt>
                <c:pt idx="2">
                  <c:v>1.2012E-2</c:v>
                </c:pt>
                <c:pt idx="3">
                  <c:v>4.2204999999999999E-2</c:v>
                </c:pt>
                <c:pt idx="4">
                  <c:v>7.2867000000000001E-2</c:v>
                </c:pt>
                <c:pt idx="5">
                  <c:v>0.103295</c:v>
                </c:pt>
                <c:pt idx="6">
                  <c:v>0.13303300000000001</c:v>
                </c:pt>
                <c:pt idx="7">
                  <c:v>0.161799</c:v>
                </c:pt>
                <c:pt idx="8">
                  <c:v>0.18943099999999999</c:v>
                </c:pt>
                <c:pt idx="9">
                  <c:v>0.21584999999999999</c:v>
                </c:pt>
                <c:pt idx="10">
                  <c:v>0.24102899999999999</c:v>
                </c:pt>
                <c:pt idx="11">
                  <c:v>0.26497999999999999</c:v>
                </c:pt>
                <c:pt idx="12">
                  <c:v>0.28773399999999999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43-48A7-9E62-91ABAA36A793}"/>
            </c:ext>
          </c:extLst>
        </c:ser>
        <c:ser>
          <c:idx val="4"/>
          <c:order val="4"/>
          <c:tx>
            <c:strRef>
              <c:f>'Pivot Analysis'!$F$1:$F$2</c:f>
              <c:strCache>
                <c:ptCount val="1"/>
                <c:pt idx="0">
                  <c:v>0.09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Analysis'!$F$3:$F$16</c:f>
              <c:numCache>
                <c:formatCode>General</c:formatCode>
                <c:ptCount val="13"/>
                <c:pt idx="0">
                  <c:v>-5.3887999999999998E-2</c:v>
                </c:pt>
                <c:pt idx="1">
                  <c:v>-2.785E-2</c:v>
                </c:pt>
                <c:pt idx="2">
                  <c:v>1.155E-3</c:v>
                </c:pt>
                <c:pt idx="3">
                  <c:v>3.168E-2</c:v>
                </c:pt>
                <c:pt idx="4">
                  <c:v>6.2678999999999999E-2</c:v>
                </c:pt>
                <c:pt idx="5">
                  <c:v>9.3441999999999997E-2</c:v>
                </c:pt>
                <c:pt idx="6">
                  <c:v>0.123506</c:v>
                </c:pt>
                <c:pt idx="7">
                  <c:v>0.152588</c:v>
                </c:pt>
                <c:pt idx="8">
                  <c:v>0.18052399999999999</c:v>
                </c:pt>
                <c:pt idx="9">
                  <c:v>0.207233</c:v>
                </c:pt>
                <c:pt idx="10">
                  <c:v>0.23268900000000001</c:v>
                </c:pt>
                <c:pt idx="11">
                  <c:v>0.25690299999999999</c:v>
                </c:pt>
                <c:pt idx="12">
                  <c:v>0.27990700000000002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43-48A7-9E62-91ABAA36A793}"/>
            </c:ext>
          </c:extLst>
        </c:ser>
        <c:ser>
          <c:idx val="5"/>
          <c:order val="5"/>
          <c:tx>
            <c:strRef>
              <c:f>'Pivot Analysis'!$G$1:$G$2</c:f>
              <c:strCache>
                <c:ptCount val="1"/>
                <c:pt idx="0">
                  <c:v>0.1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Analysis'!$G$3:$G$16</c:f>
              <c:numCache>
                <c:formatCode>General</c:formatCode>
                <c:ptCount val="13"/>
                <c:pt idx="0">
                  <c:v>-6.5598000000000004E-2</c:v>
                </c:pt>
                <c:pt idx="1">
                  <c:v>-3.9271E-2</c:v>
                </c:pt>
                <c:pt idx="2">
                  <c:v>-9.9430000000000004E-3</c:v>
                </c:pt>
                <c:pt idx="3">
                  <c:v>2.0920999999999999E-2</c:v>
                </c:pt>
                <c:pt idx="4">
                  <c:v>5.2263999999999998E-2</c:v>
                </c:pt>
                <c:pt idx="5">
                  <c:v>8.3368999999999999E-2</c:v>
                </c:pt>
                <c:pt idx="6">
                  <c:v>0.11376699999999999</c:v>
                </c:pt>
                <c:pt idx="7">
                  <c:v>0.14317199999999999</c:v>
                </c:pt>
                <c:pt idx="8">
                  <c:v>0.17141799999999999</c:v>
                </c:pt>
                <c:pt idx="9">
                  <c:v>0.19842399999999999</c:v>
                </c:pt>
                <c:pt idx="10">
                  <c:v>0.224163</c:v>
                </c:pt>
                <c:pt idx="11">
                  <c:v>0.24864600000000001</c:v>
                </c:pt>
                <c:pt idx="12">
                  <c:v>0.27190599999999998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43-48A7-9E62-91ABAA36A793}"/>
            </c:ext>
          </c:extLst>
        </c:ser>
        <c:ser>
          <c:idx val="6"/>
          <c:order val="6"/>
          <c:tx>
            <c:strRef>
              <c:f>'Pivot Analysis'!$H$1:$H$2</c:f>
              <c:strCache>
                <c:ptCount val="1"/>
                <c:pt idx="0">
                  <c:v>0.11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Analysis'!$H$3:$H$16</c:f>
              <c:numCache>
                <c:formatCode>General</c:formatCode>
                <c:ptCount val="13"/>
                <c:pt idx="0">
                  <c:v>-7.7571000000000001E-2</c:v>
                </c:pt>
                <c:pt idx="1">
                  <c:v>-5.0948E-2</c:v>
                </c:pt>
                <c:pt idx="2">
                  <c:v>-2.1291000000000001E-2</c:v>
                </c:pt>
                <c:pt idx="3">
                  <c:v>9.92E-3</c:v>
                </c:pt>
                <c:pt idx="4">
                  <c:v>4.1614999999999999E-2</c:v>
                </c:pt>
                <c:pt idx="5">
                  <c:v>7.3068999999999995E-2</c:v>
                </c:pt>
                <c:pt idx="6">
                  <c:v>0.10381</c:v>
                </c:pt>
                <c:pt idx="7">
                  <c:v>0.133545</c:v>
                </c:pt>
                <c:pt idx="8">
                  <c:v>0.162108</c:v>
                </c:pt>
                <c:pt idx="9">
                  <c:v>0.189418</c:v>
                </c:pt>
                <c:pt idx="10">
                  <c:v>0.215446</c:v>
                </c:pt>
                <c:pt idx="11">
                  <c:v>0.240204</c:v>
                </c:pt>
                <c:pt idx="12">
                  <c:v>0.26372499999999999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43-48A7-9E62-91ABAA36A793}"/>
            </c:ext>
          </c:extLst>
        </c:ser>
        <c:ser>
          <c:idx val="7"/>
          <c:order val="7"/>
          <c:tx>
            <c:strRef>
              <c:f>'Pivot Analysis'!$I$1:$I$2</c:f>
              <c:strCache>
                <c:ptCount val="1"/>
                <c:pt idx="0">
                  <c:v>0.12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Analysis'!$I$3:$I$16</c:f>
              <c:numCache>
                <c:formatCode>General</c:formatCode>
                <c:ptCount val="13"/>
                <c:pt idx="0">
                  <c:v>-8.9816000000000007E-2</c:v>
                </c:pt>
                <c:pt idx="1">
                  <c:v>-6.2890000000000001E-2</c:v>
                </c:pt>
                <c:pt idx="2">
                  <c:v>-3.2896000000000002E-2</c:v>
                </c:pt>
                <c:pt idx="3">
                  <c:v>-1.3309999999999999E-3</c:v>
                </c:pt>
                <c:pt idx="4">
                  <c:v>3.0724999999999999E-2</c:v>
                </c:pt>
                <c:pt idx="5">
                  <c:v>6.2535999999999994E-2</c:v>
                </c:pt>
                <c:pt idx="6">
                  <c:v>9.3626000000000001E-2</c:v>
                </c:pt>
                <c:pt idx="7">
                  <c:v>0.123699</c:v>
                </c:pt>
                <c:pt idx="8">
                  <c:v>0.152587</c:v>
                </c:pt>
                <c:pt idx="9">
                  <c:v>0.18020600000000001</c:v>
                </c:pt>
                <c:pt idx="10">
                  <c:v>0.20653099999999999</c:v>
                </c:pt>
                <c:pt idx="11">
                  <c:v>0.23157</c:v>
                </c:pt>
                <c:pt idx="12">
                  <c:v>0.25535799999999997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943-48A7-9E62-91ABAA36A793}"/>
            </c:ext>
          </c:extLst>
        </c:ser>
        <c:ser>
          <c:idx val="8"/>
          <c:order val="8"/>
          <c:tx>
            <c:strRef>
              <c:f>'Pivot Analysis'!$J$1:$J$2</c:f>
              <c:strCache>
                <c:ptCount val="1"/>
                <c:pt idx="0">
                  <c:v>0.13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Analysis'!$J$3:$J$16</c:f>
              <c:numCache>
                <c:formatCode>General</c:formatCode>
                <c:ptCount val="13"/>
                <c:pt idx="0">
                  <c:v>-0.102343</c:v>
                </c:pt>
                <c:pt idx="1">
                  <c:v>-7.5106999999999993E-2</c:v>
                </c:pt>
                <c:pt idx="2">
                  <c:v>-4.4769000000000003E-2</c:v>
                </c:pt>
                <c:pt idx="3">
                  <c:v>-1.2841E-2</c:v>
                </c:pt>
                <c:pt idx="4">
                  <c:v>1.9584000000000001E-2</c:v>
                </c:pt>
                <c:pt idx="5">
                  <c:v>5.1761000000000001E-2</c:v>
                </c:pt>
                <c:pt idx="6">
                  <c:v>8.3208000000000004E-2</c:v>
                </c:pt>
                <c:pt idx="7">
                  <c:v>0.113626</c:v>
                </c:pt>
                <c:pt idx="8">
                  <c:v>0.142846</c:v>
                </c:pt>
                <c:pt idx="9">
                  <c:v>0.17078299999999999</c:v>
                </c:pt>
                <c:pt idx="10">
                  <c:v>0.19741</c:v>
                </c:pt>
                <c:pt idx="11">
                  <c:v>0.22273699999999999</c:v>
                </c:pt>
                <c:pt idx="12">
                  <c:v>0.24679899999999999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43-48A7-9E62-91ABAA36A793}"/>
            </c:ext>
          </c:extLst>
        </c:ser>
        <c:ser>
          <c:idx val="9"/>
          <c:order val="9"/>
          <c:tx>
            <c:strRef>
              <c:f>'Pivot Analysis'!$K$1:$K$2</c:f>
              <c:strCache>
                <c:ptCount val="1"/>
                <c:pt idx="0">
                  <c:v>0.14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Analysis'!$K$3:$K$16</c:f>
              <c:numCache>
                <c:formatCode>General</c:formatCode>
                <c:ptCount val="13"/>
                <c:pt idx="0">
                  <c:v>-0.11516</c:v>
                </c:pt>
                <c:pt idx="1">
                  <c:v>-8.7609000000000006E-2</c:v>
                </c:pt>
                <c:pt idx="2">
                  <c:v>-5.6917000000000002E-2</c:v>
                </c:pt>
                <c:pt idx="3">
                  <c:v>-2.4618000000000001E-2</c:v>
                </c:pt>
                <c:pt idx="4">
                  <c:v>8.1829999999999993E-3</c:v>
                </c:pt>
                <c:pt idx="5">
                  <c:v>4.0735E-2</c:v>
                </c:pt>
                <c:pt idx="6">
                  <c:v>7.2547E-2</c:v>
                </c:pt>
                <c:pt idx="7">
                  <c:v>0.10332</c:v>
                </c:pt>
                <c:pt idx="8">
                  <c:v>0.13288</c:v>
                </c:pt>
                <c:pt idx="9">
                  <c:v>0.16114100000000001</c:v>
                </c:pt>
                <c:pt idx="10">
                  <c:v>0.188078</c:v>
                </c:pt>
                <c:pt idx="11">
                  <c:v>0.213699</c:v>
                </c:pt>
                <c:pt idx="12">
                  <c:v>0.238041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943-48A7-9E62-91ABAA36A793}"/>
            </c:ext>
          </c:extLst>
        </c:ser>
        <c:ser>
          <c:idx val="10"/>
          <c:order val="10"/>
          <c:tx>
            <c:strRef>
              <c:f>'Pivot Analysis'!$L$1:$L$2</c:f>
              <c:strCache>
                <c:ptCount val="1"/>
                <c:pt idx="0">
                  <c:v>0.15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Analysis'!$L$3:$L$16</c:f>
              <c:numCache>
                <c:formatCode>General</c:formatCode>
                <c:ptCount val="13"/>
                <c:pt idx="0">
                  <c:v>-0.12828000000000001</c:v>
                </c:pt>
                <c:pt idx="1">
                  <c:v>-0.10040399999999999</c:v>
                </c:pt>
                <c:pt idx="2">
                  <c:v>-6.9351999999999997E-2</c:v>
                </c:pt>
                <c:pt idx="3">
                  <c:v>-3.6672000000000003E-2</c:v>
                </c:pt>
                <c:pt idx="4">
                  <c:v>-3.4849999999999998E-3</c:v>
                </c:pt>
                <c:pt idx="5">
                  <c:v>2.9448999999999999E-2</c:v>
                </c:pt>
                <c:pt idx="6">
                  <c:v>6.1636000000000003E-2</c:v>
                </c:pt>
                <c:pt idx="7">
                  <c:v>9.2771000000000006E-2</c:v>
                </c:pt>
                <c:pt idx="8">
                  <c:v>0.122678</c:v>
                </c:pt>
                <c:pt idx="9">
                  <c:v>0.15127199999999999</c:v>
                </c:pt>
                <c:pt idx="10">
                  <c:v>0.17852599999999999</c:v>
                </c:pt>
                <c:pt idx="11">
                  <c:v>0.20444899999999999</c:v>
                </c:pt>
                <c:pt idx="12">
                  <c:v>0.229077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943-48A7-9E62-91ABAA36A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089584"/>
        <c:axId val="401075184"/>
      </c:barChart>
      <c:catAx>
        <c:axId val="40108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075184"/>
        <c:crosses val="autoZero"/>
        <c:auto val="1"/>
        <c:lblAlgn val="ctr"/>
        <c:lblOffset val="100"/>
        <c:noMultiLvlLbl val="0"/>
      </c:catAx>
      <c:valAx>
        <c:axId val="40107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08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[SSTO Results.xlsx]Surface Plot!PivotTable2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/>
          <a:effectLst/>
          <a:sp3d/>
        </c:spPr>
      </c:pivotFmt>
      <c:pivotFmt>
        <c:idx val="13"/>
        <c:spPr>
          <a:solidFill>
            <a:schemeClr val="accent2"/>
          </a:solidFill>
          <a:ln/>
          <a:effectLst/>
          <a:sp3d/>
        </c:spPr>
      </c:pivotFmt>
      <c:pivotFmt>
        <c:idx val="14"/>
        <c:spPr>
          <a:solidFill>
            <a:schemeClr val="accent3"/>
          </a:solidFill>
          <a:ln/>
          <a:effectLst/>
          <a:sp3d/>
        </c:spPr>
      </c:pivotFmt>
      <c:pivotFmt>
        <c:idx val="15"/>
        <c:spPr>
          <a:solidFill>
            <a:schemeClr val="accent4"/>
          </a:solidFill>
          <a:ln/>
          <a:effectLst/>
          <a:sp3d/>
        </c:spPr>
      </c:pivotFmt>
      <c:pivotFmt>
        <c:idx val="16"/>
        <c:spPr>
          <a:solidFill>
            <a:schemeClr val="accent5"/>
          </a:solidFill>
          <a:ln/>
          <a:effectLst/>
          <a:sp3d/>
        </c:spPr>
      </c:pivotFmt>
      <c:pivotFmt>
        <c:idx val="17"/>
        <c:spPr>
          <a:solidFill>
            <a:schemeClr val="accent6"/>
          </a:solidFill>
          <a:ln/>
          <a:effectLst/>
          <a:sp3d/>
        </c:spPr>
      </c:pivotFmt>
      <c:pivotFmt>
        <c:idx val="18"/>
        <c:spPr>
          <a:solidFill>
            <a:schemeClr val="accent1">
              <a:lumMod val="60000"/>
            </a:schemeClr>
          </a:solidFill>
          <a:ln/>
          <a:effectLst/>
          <a:sp3d/>
        </c:spPr>
      </c:pivotFmt>
      <c:pivotFmt>
        <c:idx val="19"/>
        <c:spPr>
          <a:solidFill>
            <a:schemeClr val="accent2">
              <a:lumMod val="60000"/>
            </a:schemeClr>
          </a:solidFill>
          <a:ln/>
          <a:effectLst/>
          <a:sp3d/>
        </c:spPr>
      </c:pivotFmt>
      <c:pivotFmt>
        <c:idx val="20"/>
        <c:spPr>
          <a:solidFill>
            <a:schemeClr val="accent3">
              <a:lumMod val="60000"/>
            </a:schemeClr>
          </a:solidFill>
          <a:ln/>
          <a:effectLst/>
          <a:sp3d/>
        </c:spPr>
      </c:pivotFmt>
      <c:pivotFmt>
        <c:idx val="21"/>
        <c:spPr>
          <a:solidFill>
            <a:schemeClr val="accent4">
              <a:lumMod val="60000"/>
            </a:schemeClr>
          </a:solidFill>
          <a:ln/>
          <a:effectLst/>
          <a:sp3d/>
        </c:spPr>
      </c:pivotFmt>
      <c:pivotFmt>
        <c:idx val="22"/>
        <c:spPr>
          <a:solidFill>
            <a:schemeClr val="accent5">
              <a:lumMod val="60000"/>
            </a:schemeClr>
          </a:solidFill>
          <a:ln/>
          <a:effectLst/>
          <a:sp3d/>
        </c:spPr>
      </c:pivotFmt>
      <c:pivotFmt>
        <c:idx val="23"/>
        <c:spPr>
          <a:solidFill>
            <a:schemeClr val="accent6">
              <a:lumMod val="60000"/>
            </a:schemeClr>
          </a:solidFill>
          <a:ln/>
          <a:effectLst/>
          <a:sp3d/>
        </c:spPr>
      </c:pivotFmt>
      <c:pivotFmt>
        <c:idx val="24"/>
        <c:spPr>
          <a:solidFill>
            <a:schemeClr val="accent1">
              <a:lumMod val="80000"/>
              <a:lumOff val="20000"/>
            </a:schemeClr>
          </a:solidFill>
          <a:ln/>
          <a:effectLst/>
          <a:sp3d/>
        </c:spPr>
      </c:pivotFmt>
      <c:pivotFmt>
        <c:idx val="25"/>
        <c:spPr>
          <a:solidFill>
            <a:schemeClr val="accent2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lumMod val="60000"/>
            </a:schemeClr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>
              <a:lumMod val="60000"/>
            </a:schemeClr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3">
              <a:lumMod val="60000"/>
            </a:schemeClr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4">
              <a:lumMod val="60000"/>
            </a:schemeClr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5">
              <a:lumMod val="60000"/>
            </a:schemeClr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/>
          <a:effectLst/>
          <a:sp3d/>
        </c:spPr>
      </c:pivotFmt>
      <c:pivotFmt>
        <c:idx val="37"/>
        <c:spPr>
          <a:solidFill>
            <a:schemeClr val="accent2"/>
          </a:solidFill>
          <a:ln/>
          <a:effectLst/>
          <a:sp3d/>
        </c:spPr>
      </c:pivotFmt>
      <c:pivotFmt>
        <c:idx val="38"/>
        <c:spPr>
          <a:solidFill>
            <a:schemeClr val="accent3"/>
          </a:solidFill>
          <a:ln/>
          <a:effectLst/>
          <a:sp3d/>
        </c:spPr>
      </c:pivotFmt>
      <c:pivotFmt>
        <c:idx val="39"/>
        <c:spPr>
          <a:solidFill>
            <a:schemeClr val="accent4"/>
          </a:solidFill>
          <a:ln/>
          <a:effectLst/>
          <a:sp3d/>
        </c:spPr>
      </c:pivotFmt>
      <c:pivotFmt>
        <c:idx val="40"/>
        <c:spPr>
          <a:solidFill>
            <a:schemeClr val="accent5"/>
          </a:solidFill>
          <a:ln/>
          <a:effectLst/>
          <a:sp3d/>
        </c:spPr>
      </c:pivotFmt>
      <c:pivotFmt>
        <c:idx val="41"/>
        <c:spPr>
          <a:solidFill>
            <a:schemeClr val="accent6"/>
          </a:solidFill>
          <a:ln/>
          <a:effectLst/>
          <a:sp3d/>
        </c:spPr>
      </c:pivotFmt>
      <c:pivotFmt>
        <c:idx val="42"/>
        <c:spPr>
          <a:solidFill>
            <a:schemeClr val="accent1">
              <a:lumMod val="60000"/>
            </a:schemeClr>
          </a:solidFill>
          <a:ln/>
          <a:effectLst/>
          <a:sp3d/>
        </c:spPr>
      </c:pivotFmt>
      <c:pivotFmt>
        <c:idx val="43"/>
        <c:spPr>
          <a:solidFill>
            <a:schemeClr val="accent2">
              <a:lumMod val="60000"/>
            </a:schemeClr>
          </a:solidFill>
          <a:ln/>
          <a:effectLst/>
          <a:sp3d/>
        </c:spPr>
      </c:pivotFmt>
      <c:pivotFmt>
        <c:idx val="44"/>
        <c:spPr>
          <a:solidFill>
            <a:schemeClr val="accent3">
              <a:lumMod val="60000"/>
            </a:schemeClr>
          </a:solidFill>
          <a:ln/>
          <a:effectLst/>
          <a:sp3d/>
        </c:spPr>
      </c:pivotFmt>
      <c:pivotFmt>
        <c:idx val="45"/>
        <c:spPr>
          <a:solidFill>
            <a:schemeClr val="accent4">
              <a:lumMod val="60000"/>
            </a:schemeClr>
          </a:solidFill>
          <a:ln/>
          <a:effectLst/>
          <a:sp3d/>
        </c:spPr>
      </c:pivotFmt>
      <c:pivotFmt>
        <c:idx val="46"/>
        <c:spPr>
          <a:solidFill>
            <a:schemeClr val="accent5">
              <a:lumMod val="60000"/>
            </a:schemeClr>
          </a:solidFill>
          <a:ln/>
          <a:effectLst/>
          <a:sp3d/>
        </c:spPr>
      </c:pivotFmt>
      <c:pivotFmt>
        <c:idx val="47"/>
        <c:spPr>
          <a:solidFill>
            <a:schemeClr val="accent6">
              <a:lumMod val="60000"/>
            </a:schemeClr>
          </a:solidFill>
          <a:ln/>
          <a:effectLst/>
          <a:sp3d/>
        </c:spPr>
      </c:pivotFmt>
      <c:pivotFmt>
        <c:idx val="48"/>
        <c:spPr>
          <a:solidFill>
            <a:schemeClr val="accent1">
              <a:lumMod val="80000"/>
              <a:lumOff val="20000"/>
            </a:schemeClr>
          </a:solidFill>
          <a:ln/>
          <a:effectLst/>
          <a:sp3d/>
        </c:spPr>
      </c:pivotFmt>
      <c:pivotFmt>
        <c:idx val="49"/>
        <c:spPr>
          <a:solidFill>
            <a:schemeClr val="accent2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3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4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5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6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>
              <a:lumMod val="60000"/>
            </a:schemeClr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2">
              <a:lumMod val="60000"/>
            </a:schemeClr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3">
              <a:lumMod val="60000"/>
            </a:schemeClr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4">
              <a:lumMod val="60000"/>
            </a:schemeClr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5">
              <a:lumMod val="60000"/>
            </a:schemeClr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tx>
            <c:strRef>
              <c:f>'Surface Plot'!$B$1:$B$2</c:f>
              <c:strCache>
                <c:ptCount val="1"/>
                <c:pt idx="0">
                  <c:v>0.05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Plot'!$B$3:$B$16</c:f>
              <c:numCache>
                <c:formatCode>General</c:formatCode>
                <c:ptCount val="13"/>
                <c:pt idx="0">
                  <c:v>-9.5139999999999999E-3</c:v>
                </c:pt>
                <c:pt idx="1">
                  <c:v>1.5428000000000001E-2</c:v>
                </c:pt>
                <c:pt idx="2">
                  <c:v>4.3212E-2</c:v>
                </c:pt>
                <c:pt idx="3">
                  <c:v>7.2451000000000002E-2</c:v>
                </c:pt>
                <c:pt idx="4">
                  <c:v>0.102145</c:v>
                </c:pt>
                <c:pt idx="5">
                  <c:v>0.13161200000000001</c:v>
                </c:pt>
                <c:pt idx="6">
                  <c:v>0.160411</c:v>
                </c:pt>
                <c:pt idx="7">
                  <c:v>0.18826799999999999</c:v>
                </c:pt>
                <c:pt idx="8">
                  <c:v>0.215028</c:v>
                </c:pt>
                <c:pt idx="9">
                  <c:v>0.24061199999999999</c:v>
                </c:pt>
                <c:pt idx="10">
                  <c:v>0.26499699999999998</c:v>
                </c:pt>
                <c:pt idx="11">
                  <c:v>0.28819099999999997</c:v>
                </c:pt>
                <c:pt idx="12">
                  <c:v>0.310226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4-476B-B7F7-449D6A915906}"/>
            </c:ext>
          </c:extLst>
        </c:ser>
        <c:ser>
          <c:idx val="1"/>
          <c:order val="1"/>
          <c:tx>
            <c:strRef>
              <c:f>'Surface Plot'!$C$1:$C$2</c:f>
              <c:strCache>
                <c:ptCount val="1"/>
                <c:pt idx="0">
                  <c:v>0.06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Plot'!$C$3:$C$16</c:f>
              <c:numCache>
                <c:formatCode>General</c:formatCode>
                <c:ptCount val="13"/>
                <c:pt idx="0">
                  <c:v>-2.0253E-2</c:v>
                </c:pt>
                <c:pt idx="1">
                  <c:v>4.9540000000000001E-3</c:v>
                </c:pt>
                <c:pt idx="2">
                  <c:v>3.3033E-2</c:v>
                </c:pt>
                <c:pt idx="3">
                  <c:v>6.2584000000000001E-2</c:v>
                </c:pt>
                <c:pt idx="4">
                  <c:v>9.2592999999999995E-2</c:v>
                </c:pt>
                <c:pt idx="5">
                  <c:v>0.122374</c:v>
                </c:pt>
                <c:pt idx="6">
                  <c:v>0.151479</c:v>
                </c:pt>
                <c:pt idx="7">
                  <c:v>0.17963299999999999</c:v>
                </c:pt>
                <c:pt idx="8">
                  <c:v>0.206677</c:v>
                </c:pt>
                <c:pt idx="9">
                  <c:v>0.23253399999999999</c:v>
                </c:pt>
                <c:pt idx="10">
                  <c:v>0.25717800000000002</c:v>
                </c:pt>
                <c:pt idx="11">
                  <c:v>0.28061900000000001</c:v>
                </c:pt>
                <c:pt idx="12">
                  <c:v>0.30288799999999999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D4-476B-B7F7-449D6A915906}"/>
            </c:ext>
          </c:extLst>
        </c:ser>
        <c:ser>
          <c:idx val="2"/>
          <c:order val="2"/>
          <c:tx>
            <c:strRef>
              <c:f>'Surface Plot'!$D$1:$D$2</c:f>
              <c:strCache>
                <c:ptCount val="1"/>
                <c:pt idx="0">
                  <c:v>0.07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Plot'!$D$3:$D$16</c:f>
              <c:numCache>
                <c:formatCode>General</c:formatCode>
                <c:ptCount val="13"/>
                <c:pt idx="0">
                  <c:v>-3.1223999999999998E-2</c:v>
                </c:pt>
                <c:pt idx="1">
                  <c:v>-5.7460000000000002E-3</c:v>
                </c:pt>
                <c:pt idx="2">
                  <c:v>2.2636E-2</c:v>
                </c:pt>
                <c:pt idx="3">
                  <c:v>5.2504000000000002E-2</c:v>
                </c:pt>
                <c:pt idx="4">
                  <c:v>8.2836000000000007E-2</c:v>
                </c:pt>
                <c:pt idx="5">
                  <c:v>0.112937</c:v>
                </c:pt>
                <c:pt idx="6">
                  <c:v>0.14235600000000001</c:v>
                </c:pt>
                <c:pt idx="7">
                  <c:v>0.17081199999999999</c:v>
                </c:pt>
                <c:pt idx="8">
                  <c:v>0.19814699999999999</c:v>
                </c:pt>
                <c:pt idx="9">
                  <c:v>0.22428100000000001</c:v>
                </c:pt>
                <c:pt idx="10">
                  <c:v>0.24918999999999999</c:v>
                </c:pt>
                <c:pt idx="11">
                  <c:v>0.27288299999999999</c:v>
                </c:pt>
                <c:pt idx="12">
                  <c:v>0.29539300000000002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D4-476B-B7F7-449D6A915906}"/>
            </c:ext>
          </c:extLst>
        </c:ser>
        <c:ser>
          <c:idx val="3"/>
          <c:order val="3"/>
          <c:tx>
            <c:strRef>
              <c:f>'Surface Plot'!$E$1:$E$2</c:f>
              <c:strCache>
                <c:ptCount val="1"/>
                <c:pt idx="0">
                  <c:v>0.08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Plot'!$E$3:$E$16</c:f>
              <c:numCache>
                <c:formatCode>General</c:formatCode>
                <c:ptCount val="13"/>
                <c:pt idx="0">
                  <c:v>-4.2432999999999998E-2</c:v>
                </c:pt>
                <c:pt idx="1">
                  <c:v>-1.6677999999999998E-2</c:v>
                </c:pt>
                <c:pt idx="2">
                  <c:v>1.2012E-2</c:v>
                </c:pt>
                <c:pt idx="3">
                  <c:v>4.2204999999999999E-2</c:v>
                </c:pt>
                <c:pt idx="4">
                  <c:v>7.2867000000000001E-2</c:v>
                </c:pt>
                <c:pt idx="5">
                  <c:v>0.103295</c:v>
                </c:pt>
                <c:pt idx="6">
                  <c:v>0.13303300000000001</c:v>
                </c:pt>
                <c:pt idx="7">
                  <c:v>0.161799</c:v>
                </c:pt>
                <c:pt idx="8">
                  <c:v>0.18943099999999999</c:v>
                </c:pt>
                <c:pt idx="9">
                  <c:v>0.21584999999999999</c:v>
                </c:pt>
                <c:pt idx="10">
                  <c:v>0.24102899999999999</c:v>
                </c:pt>
                <c:pt idx="11">
                  <c:v>0.26497999999999999</c:v>
                </c:pt>
                <c:pt idx="12">
                  <c:v>0.28773399999999999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D4-476B-B7F7-449D6A915906}"/>
            </c:ext>
          </c:extLst>
        </c:ser>
        <c:ser>
          <c:idx val="4"/>
          <c:order val="4"/>
          <c:tx>
            <c:strRef>
              <c:f>'Surface Plot'!$F$1:$F$2</c:f>
              <c:strCache>
                <c:ptCount val="1"/>
                <c:pt idx="0">
                  <c:v>0.09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Plot'!$F$3:$F$16</c:f>
              <c:numCache>
                <c:formatCode>General</c:formatCode>
                <c:ptCount val="13"/>
                <c:pt idx="0">
                  <c:v>-5.3887999999999998E-2</c:v>
                </c:pt>
                <c:pt idx="1">
                  <c:v>-2.785E-2</c:v>
                </c:pt>
                <c:pt idx="2">
                  <c:v>1.155E-3</c:v>
                </c:pt>
                <c:pt idx="3">
                  <c:v>3.168E-2</c:v>
                </c:pt>
                <c:pt idx="4">
                  <c:v>6.2678999999999999E-2</c:v>
                </c:pt>
                <c:pt idx="5">
                  <c:v>9.3441999999999997E-2</c:v>
                </c:pt>
                <c:pt idx="6">
                  <c:v>0.123506</c:v>
                </c:pt>
                <c:pt idx="7">
                  <c:v>0.152588</c:v>
                </c:pt>
                <c:pt idx="8">
                  <c:v>0.18052399999999999</c:v>
                </c:pt>
                <c:pt idx="9">
                  <c:v>0.207233</c:v>
                </c:pt>
                <c:pt idx="10">
                  <c:v>0.23268900000000001</c:v>
                </c:pt>
                <c:pt idx="11">
                  <c:v>0.25690299999999999</c:v>
                </c:pt>
                <c:pt idx="12">
                  <c:v>0.27990700000000002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D4-476B-B7F7-449D6A915906}"/>
            </c:ext>
          </c:extLst>
        </c:ser>
        <c:ser>
          <c:idx val="5"/>
          <c:order val="5"/>
          <c:tx>
            <c:strRef>
              <c:f>'Surface Plot'!$G$1:$G$2</c:f>
              <c:strCache>
                <c:ptCount val="1"/>
                <c:pt idx="0">
                  <c:v>0.1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Plot'!$G$3:$G$16</c:f>
              <c:numCache>
                <c:formatCode>General</c:formatCode>
                <c:ptCount val="13"/>
                <c:pt idx="0">
                  <c:v>-6.5598000000000004E-2</c:v>
                </c:pt>
                <c:pt idx="1">
                  <c:v>-3.9271E-2</c:v>
                </c:pt>
                <c:pt idx="2">
                  <c:v>-9.9430000000000004E-3</c:v>
                </c:pt>
                <c:pt idx="3">
                  <c:v>2.0920999999999999E-2</c:v>
                </c:pt>
                <c:pt idx="4">
                  <c:v>5.2263999999999998E-2</c:v>
                </c:pt>
                <c:pt idx="5">
                  <c:v>8.3368999999999999E-2</c:v>
                </c:pt>
                <c:pt idx="6">
                  <c:v>0.11376699999999999</c:v>
                </c:pt>
                <c:pt idx="7">
                  <c:v>0.14317199999999999</c:v>
                </c:pt>
                <c:pt idx="8">
                  <c:v>0.17141799999999999</c:v>
                </c:pt>
                <c:pt idx="9">
                  <c:v>0.19842399999999999</c:v>
                </c:pt>
                <c:pt idx="10">
                  <c:v>0.224163</c:v>
                </c:pt>
                <c:pt idx="11">
                  <c:v>0.24864600000000001</c:v>
                </c:pt>
                <c:pt idx="12">
                  <c:v>0.27190599999999998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D4-476B-B7F7-449D6A915906}"/>
            </c:ext>
          </c:extLst>
        </c:ser>
        <c:ser>
          <c:idx val="6"/>
          <c:order val="6"/>
          <c:tx>
            <c:strRef>
              <c:f>'Surface Plot'!$H$1:$H$2</c:f>
              <c:strCache>
                <c:ptCount val="1"/>
                <c:pt idx="0">
                  <c:v>0.11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Plot'!$H$3:$H$16</c:f>
              <c:numCache>
                <c:formatCode>General</c:formatCode>
                <c:ptCount val="13"/>
                <c:pt idx="0">
                  <c:v>-7.7571000000000001E-2</c:v>
                </c:pt>
                <c:pt idx="1">
                  <c:v>-5.0948E-2</c:v>
                </c:pt>
                <c:pt idx="2">
                  <c:v>-2.1291000000000001E-2</c:v>
                </c:pt>
                <c:pt idx="3">
                  <c:v>9.92E-3</c:v>
                </c:pt>
                <c:pt idx="4">
                  <c:v>4.1614999999999999E-2</c:v>
                </c:pt>
                <c:pt idx="5">
                  <c:v>7.3068999999999995E-2</c:v>
                </c:pt>
                <c:pt idx="6">
                  <c:v>0.10381</c:v>
                </c:pt>
                <c:pt idx="7">
                  <c:v>0.133545</c:v>
                </c:pt>
                <c:pt idx="8">
                  <c:v>0.162108</c:v>
                </c:pt>
                <c:pt idx="9">
                  <c:v>0.189418</c:v>
                </c:pt>
                <c:pt idx="10">
                  <c:v>0.215446</c:v>
                </c:pt>
                <c:pt idx="11">
                  <c:v>0.240204</c:v>
                </c:pt>
                <c:pt idx="12">
                  <c:v>0.26372499999999999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D4-476B-B7F7-449D6A915906}"/>
            </c:ext>
          </c:extLst>
        </c:ser>
        <c:ser>
          <c:idx val="7"/>
          <c:order val="7"/>
          <c:tx>
            <c:strRef>
              <c:f>'Surface Plot'!$I$1:$I$2</c:f>
              <c:strCache>
                <c:ptCount val="1"/>
                <c:pt idx="0">
                  <c:v>0.12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Plot'!$I$3:$I$16</c:f>
              <c:numCache>
                <c:formatCode>General</c:formatCode>
                <c:ptCount val="13"/>
                <c:pt idx="0">
                  <c:v>-8.9816000000000007E-2</c:v>
                </c:pt>
                <c:pt idx="1">
                  <c:v>-6.2890000000000001E-2</c:v>
                </c:pt>
                <c:pt idx="2">
                  <c:v>-3.2896000000000002E-2</c:v>
                </c:pt>
                <c:pt idx="3">
                  <c:v>-1.3309999999999999E-3</c:v>
                </c:pt>
                <c:pt idx="4">
                  <c:v>3.0724999999999999E-2</c:v>
                </c:pt>
                <c:pt idx="5">
                  <c:v>6.2535999999999994E-2</c:v>
                </c:pt>
                <c:pt idx="6">
                  <c:v>9.3626000000000001E-2</c:v>
                </c:pt>
                <c:pt idx="7">
                  <c:v>0.123699</c:v>
                </c:pt>
                <c:pt idx="8">
                  <c:v>0.152587</c:v>
                </c:pt>
                <c:pt idx="9">
                  <c:v>0.18020600000000001</c:v>
                </c:pt>
                <c:pt idx="10">
                  <c:v>0.20653099999999999</c:v>
                </c:pt>
                <c:pt idx="11">
                  <c:v>0.23157</c:v>
                </c:pt>
                <c:pt idx="12">
                  <c:v>0.25535799999999997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D4-476B-B7F7-449D6A915906}"/>
            </c:ext>
          </c:extLst>
        </c:ser>
        <c:ser>
          <c:idx val="8"/>
          <c:order val="8"/>
          <c:tx>
            <c:strRef>
              <c:f>'Surface Plot'!$J$1:$J$2</c:f>
              <c:strCache>
                <c:ptCount val="1"/>
                <c:pt idx="0">
                  <c:v>0.13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Plot'!$J$3:$J$16</c:f>
              <c:numCache>
                <c:formatCode>General</c:formatCode>
                <c:ptCount val="13"/>
                <c:pt idx="0">
                  <c:v>-0.102343</c:v>
                </c:pt>
                <c:pt idx="1">
                  <c:v>-7.5106999999999993E-2</c:v>
                </c:pt>
                <c:pt idx="2">
                  <c:v>-4.4769000000000003E-2</c:v>
                </c:pt>
                <c:pt idx="3">
                  <c:v>-1.2841E-2</c:v>
                </c:pt>
                <c:pt idx="4">
                  <c:v>1.9584000000000001E-2</c:v>
                </c:pt>
                <c:pt idx="5">
                  <c:v>5.1761000000000001E-2</c:v>
                </c:pt>
                <c:pt idx="6">
                  <c:v>8.3208000000000004E-2</c:v>
                </c:pt>
                <c:pt idx="7">
                  <c:v>0.113626</c:v>
                </c:pt>
                <c:pt idx="8">
                  <c:v>0.142846</c:v>
                </c:pt>
                <c:pt idx="9">
                  <c:v>0.17078299999999999</c:v>
                </c:pt>
                <c:pt idx="10">
                  <c:v>0.19741</c:v>
                </c:pt>
                <c:pt idx="11">
                  <c:v>0.22273699999999999</c:v>
                </c:pt>
                <c:pt idx="12">
                  <c:v>0.24679899999999999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D4-476B-B7F7-449D6A915906}"/>
            </c:ext>
          </c:extLst>
        </c:ser>
        <c:ser>
          <c:idx val="9"/>
          <c:order val="9"/>
          <c:tx>
            <c:strRef>
              <c:f>'Surface Plot'!$K$1:$K$2</c:f>
              <c:strCache>
                <c:ptCount val="1"/>
                <c:pt idx="0">
                  <c:v>0.14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Plot'!$K$3:$K$16</c:f>
              <c:numCache>
                <c:formatCode>General</c:formatCode>
                <c:ptCount val="13"/>
                <c:pt idx="0">
                  <c:v>-0.11516</c:v>
                </c:pt>
                <c:pt idx="1">
                  <c:v>-8.7609000000000006E-2</c:v>
                </c:pt>
                <c:pt idx="2">
                  <c:v>-5.6917000000000002E-2</c:v>
                </c:pt>
                <c:pt idx="3">
                  <c:v>-2.4618000000000001E-2</c:v>
                </c:pt>
                <c:pt idx="4">
                  <c:v>8.1829999999999993E-3</c:v>
                </c:pt>
                <c:pt idx="5">
                  <c:v>4.0735E-2</c:v>
                </c:pt>
                <c:pt idx="6">
                  <c:v>7.2547E-2</c:v>
                </c:pt>
                <c:pt idx="7">
                  <c:v>0.10332</c:v>
                </c:pt>
                <c:pt idx="8">
                  <c:v>0.13288</c:v>
                </c:pt>
                <c:pt idx="9">
                  <c:v>0.16114100000000001</c:v>
                </c:pt>
                <c:pt idx="10">
                  <c:v>0.188078</c:v>
                </c:pt>
                <c:pt idx="11">
                  <c:v>0.213699</c:v>
                </c:pt>
                <c:pt idx="12">
                  <c:v>0.238041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6D4-476B-B7F7-449D6A915906}"/>
            </c:ext>
          </c:extLst>
        </c:ser>
        <c:ser>
          <c:idx val="10"/>
          <c:order val="10"/>
          <c:tx>
            <c:strRef>
              <c:f>'Surface Plot'!$L$1:$L$2</c:f>
              <c:strCache>
                <c:ptCount val="1"/>
                <c:pt idx="0">
                  <c:v>0.15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Plot'!$L$3:$L$16</c:f>
              <c:numCache>
                <c:formatCode>General</c:formatCode>
                <c:ptCount val="13"/>
                <c:pt idx="0">
                  <c:v>-0.12828000000000001</c:v>
                </c:pt>
                <c:pt idx="1">
                  <c:v>-0.10040399999999999</c:v>
                </c:pt>
                <c:pt idx="2">
                  <c:v>-6.9351999999999997E-2</c:v>
                </c:pt>
                <c:pt idx="3">
                  <c:v>-3.6672000000000003E-2</c:v>
                </c:pt>
                <c:pt idx="4">
                  <c:v>-3.4849999999999998E-3</c:v>
                </c:pt>
                <c:pt idx="5">
                  <c:v>2.9448999999999999E-2</c:v>
                </c:pt>
                <c:pt idx="6">
                  <c:v>6.1636000000000003E-2</c:v>
                </c:pt>
                <c:pt idx="7">
                  <c:v>9.2771000000000006E-2</c:v>
                </c:pt>
                <c:pt idx="8">
                  <c:v>0.122678</c:v>
                </c:pt>
                <c:pt idx="9">
                  <c:v>0.15127199999999999</c:v>
                </c:pt>
                <c:pt idx="10">
                  <c:v>0.17852599999999999</c:v>
                </c:pt>
                <c:pt idx="11">
                  <c:v>0.20444899999999999</c:v>
                </c:pt>
                <c:pt idx="12">
                  <c:v>0.229077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6D4-476B-B7F7-449D6A915906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698398832"/>
        <c:axId val="1698386352"/>
        <c:axId val="1696140064"/>
      </c:surfaceChart>
      <c:catAx>
        <c:axId val="169839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386352"/>
        <c:crosses val="autoZero"/>
        <c:auto val="1"/>
        <c:lblAlgn val="ctr"/>
        <c:lblOffset val="100"/>
        <c:noMultiLvlLbl val="0"/>
      </c:catAx>
      <c:valAx>
        <c:axId val="169838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398832"/>
        <c:crosses val="autoZero"/>
        <c:crossBetween val="midCat"/>
      </c:valAx>
      <c:serAx>
        <c:axId val="16961400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386352"/>
        <c:crosses val="autoZero"/>
      </c:ser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[SSTO Results.xlsx]Pivot 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Analysis'!$B$1:$B$2</c:f>
              <c:strCache>
                <c:ptCount val="1"/>
                <c:pt idx="0">
                  <c:v>0.05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Analysis'!$B$3:$B$16</c:f>
              <c:numCache>
                <c:formatCode>General</c:formatCode>
                <c:ptCount val="13"/>
                <c:pt idx="0">
                  <c:v>-9.5139999999999999E-3</c:v>
                </c:pt>
                <c:pt idx="1">
                  <c:v>1.5428000000000001E-2</c:v>
                </c:pt>
                <c:pt idx="2">
                  <c:v>4.3212E-2</c:v>
                </c:pt>
                <c:pt idx="3">
                  <c:v>7.2451000000000002E-2</c:v>
                </c:pt>
                <c:pt idx="4">
                  <c:v>0.102145</c:v>
                </c:pt>
                <c:pt idx="5">
                  <c:v>0.13161200000000001</c:v>
                </c:pt>
                <c:pt idx="6">
                  <c:v>0.160411</c:v>
                </c:pt>
                <c:pt idx="7">
                  <c:v>0.18826799999999999</c:v>
                </c:pt>
                <c:pt idx="8">
                  <c:v>0.215028</c:v>
                </c:pt>
                <c:pt idx="9">
                  <c:v>0.24061199999999999</c:v>
                </c:pt>
                <c:pt idx="10">
                  <c:v>0.26499699999999998</c:v>
                </c:pt>
                <c:pt idx="11">
                  <c:v>0.28819099999999997</c:v>
                </c:pt>
                <c:pt idx="12">
                  <c:v>0.310226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97-414F-893A-4DD51166CE14}"/>
            </c:ext>
          </c:extLst>
        </c:ser>
        <c:ser>
          <c:idx val="1"/>
          <c:order val="1"/>
          <c:tx>
            <c:strRef>
              <c:f>'Pivot Analysis'!$C$1:$C$2</c:f>
              <c:strCache>
                <c:ptCount val="1"/>
                <c:pt idx="0">
                  <c:v>0.06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Analysis'!$C$3:$C$16</c:f>
              <c:numCache>
                <c:formatCode>General</c:formatCode>
                <c:ptCount val="13"/>
                <c:pt idx="0">
                  <c:v>-2.0253E-2</c:v>
                </c:pt>
                <c:pt idx="1">
                  <c:v>4.9540000000000001E-3</c:v>
                </c:pt>
                <c:pt idx="2">
                  <c:v>3.3033E-2</c:v>
                </c:pt>
                <c:pt idx="3">
                  <c:v>6.2584000000000001E-2</c:v>
                </c:pt>
                <c:pt idx="4">
                  <c:v>9.2592999999999995E-2</c:v>
                </c:pt>
                <c:pt idx="5">
                  <c:v>0.122374</c:v>
                </c:pt>
                <c:pt idx="6">
                  <c:v>0.151479</c:v>
                </c:pt>
                <c:pt idx="7">
                  <c:v>0.17963299999999999</c:v>
                </c:pt>
                <c:pt idx="8">
                  <c:v>0.206677</c:v>
                </c:pt>
                <c:pt idx="9">
                  <c:v>0.23253399999999999</c:v>
                </c:pt>
                <c:pt idx="10">
                  <c:v>0.25717800000000002</c:v>
                </c:pt>
                <c:pt idx="11">
                  <c:v>0.28061900000000001</c:v>
                </c:pt>
                <c:pt idx="12">
                  <c:v>0.30288799999999999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E97-414F-893A-4DD51166CE14}"/>
            </c:ext>
          </c:extLst>
        </c:ser>
        <c:ser>
          <c:idx val="2"/>
          <c:order val="2"/>
          <c:tx>
            <c:strRef>
              <c:f>'Pivot Analysis'!$D$1:$D$2</c:f>
              <c:strCache>
                <c:ptCount val="1"/>
                <c:pt idx="0">
                  <c:v>0.07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Analysis'!$D$3:$D$16</c:f>
              <c:numCache>
                <c:formatCode>General</c:formatCode>
                <c:ptCount val="13"/>
                <c:pt idx="0">
                  <c:v>-3.1223999999999998E-2</c:v>
                </c:pt>
                <c:pt idx="1">
                  <c:v>-5.7460000000000002E-3</c:v>
                </c:pt>
                <c:pt idx="2">
                  <c:v>2.2636E-2</c:v>
                </c:pt>
                <c:pt idx="3">
                  <c:v>5.2504000000000002E-2</c:v>
                </c:pt>
                <c:pt idx="4">
                  <c:v>8.2836000000000007E-2</c:v>
                </c:pt>
                <c:pt idx="5">
                  <c:v>0.112937</c:v>
                </c:pt>
                <c:pt idx="6">
                  <c:v>0.14235600000000001</c:v>
                </c:pt>
                <c:pt idx="7">
                  <c:v>0.17081199999999999</c:v>
                </c:pt>
                <c:pt idx="8">
                  <c:v>0.19814699999999999</c:v>
                </c:pt>
                <c:pt idx="9">
                  <c:v>0.22428100000000001</c:v>
                </c:pt>
                <c:pt idx="10">
                  <c:v>0.24918999999999999</c:v>
                </c:pt>
                <c:pt idx="11">
                  <c:v>0.27288299999999999</c:v>
                </c:pt>
                <c:pt idx="12">
                  <c:v>0.29539300000000002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E97-414F-893A-4DD51166CE14}"/>
            </c:ext>
          </c:extLst>
        </c:ser>
        <c:ser>
          <c:idx val="3"/>
          <c:order val="3"/>
          <c:tx>
            <c:strRef>
              <c:f>'Pivot Analysis'!$E$1:$E$2</c:f>
              <c:strCache>
                <c:ptCount val="1"/>
                <c:pt idx="0">
                  <c:v>0.08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Analysis'!$E$3:$E$16</c:f>
              <c:numCache>
                <c:formatCode>General</c:formatCode>
                <c:ptCount val="13"/>
                <c:pt idx="0">
                  <c:v>-4.2432999999999998E-2</c:v>
                </c:pt>
                <c:pt idx="1">
                  <c:v>-1.6677999999999998E-2</c:v>
                </c:pt>
                <c:pt idx="2">
                  <c:v>1.2012E-2</c:v>
                </c:pt>
                <c:pt idx="3">
                  <c:v>4.2204999999999999E-2</c:v>
                </c:pt>
                <c:pt idx="4">
                  <c:v>7.2867000000000001E-2</c:v>
                </c:pt>
                <c:pt idx="5">
                  <c:v>0.103295</c:v>
                </c:pt>
                <c:pt idx="6">
                  <c:v>0.13303300000000001</c:v>
                </c:pt>
                <c:pt idx="7">
                  <c:v>0.161799</c:v>
                </c:pt>
                <c:pt idx="8">
                  <c:v>0.18943099999999999</c:v>
                </c:pt>
                <c:pt idx="9">
                  <c:v>0.21584999999999999</c:v>
                </c:pt>
                <c:pt idx="10">
                  <c:v>0.24102899999999999</c:v>
                </c:pt>
                <c:pt idx="11">
                  <c:v>0.26497999999999999</c:v>
                </c:pt>
                <c:pt idx="12">
                  <c:v>0.28773399999999999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E97-414F-893A-4DD51166CE14}"/>
            </c:ext>
          </c:extLst>
        </c:ser>
        <c:ser>
          <c:idx val="4"/>
          <c:order val="4"/>
          <c:tx>
            <c:strRef>
              <c:f>'Pivot Analysis'!$F$1:$F$2</c:f>
              <c:strCache>
                <c:ptCount val="1"/>
                <c:pt idx="0">
                  <c:v>0.09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Analysis'!$F$3:$F$16</c:f>
              <c:numCache>
                <c:formatCode>General</c:formatCode>
                <c:ptCount val="13"/>
                <c:pt idx="0">
                  <c:v>-5.3887999999999998E-2</c:v>
                </c:pt>
                <c:pt idx="1">
                  <c:v>-2.785E-2</c:v>
                </c:pt>
                <c:pt idx="2">
                  <c:v>1.155E-3</c:v>
                </c:pt>
                <c:pt idx="3">
                  <c:v>3.168E-2</c:v>
                </c:pt>
                <c:pt idx="4">
                  <c:v>6.2678999999999999E-2</c:v>
                </c:pt>
                <c:pt idx="5">
                  <c:v>9.3441999999999997E-2</c:v>
                </c:pt>
                <c:pt idx="6">
                  <c:v>0.123506</c:v>
                </c:pt>
                <c:pt idx="7">
                  <c:v>0.152588</c:v>
                </c:pt>
                <c:pt idx="8">
                  <c:v>0.18052399999999999</c:v>
                </c:pt>
                <c:pt idx="9">
                  <c:v>0.207233</c:v>
                </c:pt>
                <c:pt idx="10">
                  <c:v>0.23268900000000001</c:v>
                </c:pt>
                <c:pt idx="11">
                  <c:v>0.25690299999999999</c:v>
                </c:pt>
                <c:pt idx="12">
                  <c:v>0.27990700000000002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E97-414F-893A-4DD51166CE14}"/>
            </c:ext>
          </c:extLst>
        </c:ser>
        <c:ser>
          <c:idx val="5"/>
          <c:order val="5"/>
          <c:tx>
            <c:strRef>
              <c:f>'Pivot Analysis'!$G$1:$G$2</c:f>
              <c:strCache>
                <c:ptCount val="1"/>
                <c:pt idx="0">
                  <c:v>0.1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Analysis'!$G$3:$G$16</c:f>
              <c:numCache>
                <c:formatCode>General</c:formatCode>
                <c:ptCount val="13"/>
                <c:pt idx="0">
                  <c:v>-6.5598000000000004E-2</c:v>
                </c:pt>
                <c:pt idx="1">
                  <c:v>-3.9271E-2</c:v>
                </c:pt>
                <c:pt idx="2">
                  <c:v>-9.9430000000000004E-3</c:v>
                </c:pt>
                <c:pt idx="3">
                  <c:v>2.0920999999999999E-2</c:v>
                </c:pt>
                <c:pt idx="4">
                  <c:v>5.2263999999999998E-2</c:v>
                </c:pt>
                <c:pt idx="5">
                  <c:v>8.3368999999999999E-2</c:v>
                </c:pt>
                <c:pt idx="6">
                  <c:v>0.11376699999999999</c:v>
                </c:pt>
                <c:pt idx="7">
                  <c:v>0.14317199999999999</c:v>
                </c:pt>
                <c:pt idx="8">
                  <c:v>0.17141799999999999</c:v>
                </c:pt>
                <c:pt idx="9">
                  <c:v>0.19842399999999999</c:v>
                </c:pt>
                <c:pt idx="10">
                  <c:v>0.224163</c:v>
                </c:pt>
                <c:pt idx="11">
                  <c:v>0.24864600000000001</c:v>
                </c:pt>
                <c:pt idx="12">
                  <c:v>0.27190599999999998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E97-414F-893A-4DD51166CE14}"/>
            </c:ext>
          </c:extLst>
        </c:ser>
        <c:ser>
          <c:idx val="6"/>
          <c:order val="6"/>
          <c:tx>
            <c:strRef>
              <c:f>'Pivot Analysis'!$H$1:$H$2</c:f>
              <c:strCache>
                <c:ptCount val="1"/>
                <c:pt idx="0">
                  <c:v>0.11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Analysis'!$H$3:$H$16</c:f>
              <c:numCache>
                <c:formatCode>General</c:formatCode>
                <c:ptCount val="13"/>
                <c:pt idx="0">
                  <c:v>-7.7571000000000001E-2</c:v>
                </c:pt>
                <c:pt idx="1">
                  <c:v>-5.0948E-2</c:v>
                </c:pt>
                <c:pt idx="2">
                  <c:v>-2.1291000000000001E-2</c:v>
                </c:pt>
                <c:pt idx="3">
                  <c:v>9.92E-3</c:v>
                </c:pt>
                <c:pt idx="4">
                  <c:v>4.1614999999999999E-2</c:v>
                </c:pt>
                <c:pt idx="5">
                  <c:v>7.3068999999999995E-2</c:v>
                </c:pt>
                <c:pt idx="6">
                  <c:v>0.10381</c:v>
                </c:pt>
                <c:pt idx="7">
                  <c:v>0.133545</c:v>
                </c:pt>
                <c:pt idx="8">
                  <c:v>0.162108</c:v>
                </c:pt>
                <c:pt idx="9">
                  <c:v>0.189418</c:v>
                </c:pt>
                <c:pt idx="10">
                  <c:v>0.215446</c:v>
                </c:pt>
                <c:pt idx="11">
                  <c:v>0.240204</c:v>
                </c:pt>
                <c:pt idx="12">
                  <c:v>0.26372499999999999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E97-414F-893A-4DD51166CE14}"/>
            </c:ext>
          </c:extLst>
        </c:ser>
        <c:ser>
          <c:idx val="7"/>
          <c:order val="7"/>
          <c:tx>
            <c:strRef>
              <c:f>'Pivot Analysis'!$I$1:$I$2</c:f>
              <c:strCache>
                <c:ptCount val="1"/>
                <c:pt idx="0">
                  <c:v>0.12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Analysis'!$I$3:$I$16</c:f>
              <c:numCache>
                <c:formatCode>General</c:formatCode>
                <c:ptCount val="13"/>
                <c:pt idx="0">
                  <c:v>-8.9816000000000007E-2</c:v>
                </c:pt>
                <c:pt idx="1">
                  <c:v>-6.2890000000000001E-2</c:v>
                </c:pt>
                <c:pt idx="2">
                  <c:v>-3.2896000000000002E-2</c:v>
                </c:pt>
                <c:pt idx="3">
                  <c:v>-1.3309999999999999E-3</c:v>
                </c:pt>
                <c:pt idx="4">
                  <c:v>3.0724999999999999E-2</c:v>
                </c:pt>
                <c:pt idx="5">
                  <c:v>6.2535999999999994E-2</c:v>
                </c:pt>
                <c:pt idx="6">
                  <c:v>9.3626000000000001E-2</c:v>
                </c:pt>
                <c:pt idx="7">
                  <c:v>0.123699</c:v>
                </c:pt>
                <c:pt idx="8">
                  <c:v>0.152587</c:v>
                </c:pt>
                <c:pt idx="9">
                  <c:v>0.18020600000000001</c:v>
                </c:pt>
                <c:pt idx="10">
                  <c:v>0.20653099999999999</c:v>
                </c:pt>
                <c:pt idx="11">
                  <c:v>0.23157</c:v>
                </c:pt>
                <c:pt idx="12">
                  <c:v>0.25535799999999997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E97-414F-893A-4DD51166CE14}"/>
            </c:ext>
          </c:extLst>
        </c:ser>
        <c:ser>
          <c:idx val="8"/>
          <c:order val="8"/>
          <c:tx>
            <c:strRef>
              <c:f>'Pivot Analysis'!$J$1:$J$2</c:f>
              <c:strCache>
                <c:ptCount val="1"/>
                <c:pt idx="0">
                  <c:v>0.13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Analysis'!$J$3:$J$16</c:f>
              <c:numCache>
                <c:formatCode>General</c:formatCode>
                <c:ptCount val="13"/>
                <c:pt idx="0">
                  <c:v>-0.102343</c:v>
                </c:pt>
                <c:pt idx="1">
                  <c:v>-7.5106999999999993E-2</c:v>
                </c:pt>
                <c:pt idx="2">
                  <c:v>-4.4769000000000003E-2</c:v>
                </c:pt>
                <c:pt idx="3">
                  <c:v>-1.2841E-2</c:v>
                </c:pt>
                <c:pt idx="4">
                  <c:v>1.9584000000000001E-2</c:v>
                </c:pt>
                <c:pt idx="5">
                  <c:v>5.1761000000000001E-2</c:v>
                </c:pt>
                <c:pt idx="6">
                  <c:v>8.3208000000000004E-2</c:v>
                </c:pt>
                <c:pt idx="7">
                  <c:v>0.113626</c:v>
                </c:pt>
                <c:pt idx="8">
                  <c:v>0.142846</c:v>
                </c:pt>
                <c:pt idx="9">
                  <c:v>0.17078299999999999</c:v>
                </c:pt>
                <c:pt idx="10">
                  <c:v>0.19741</c:v>
                </c:pt>
                <c:pt idx="11">
                  <c:v>0.22273699999999999</c:v>
                </c:pt>
                <c:pt idx="12">
                  <c:v>0.24679899999999999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E97-414F-893A-4DD51166CE14}"/>
            </c:ext>
          </c:extLst>
        </c:ser>
        <c:ser>
          <c:idx val="9"/>
          <c:order val="9"/>
          <c:tx>
            <c:strRef>
              <c:f>'Pivot Analysis'!$K$1:$K$2</c:f>
              <c:strCache>
                <c:ptCount val="1"/>
                <c:pt idx="0">
                  <c:v>0.14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Analysis'!$K$3:$K$16</c:f>
              <c:numCache>
                <c:formatCode>General</c:formatCode>
                <c:ptCount val="13"/>
                <c:pt idx="0">
                  <c:v>-0.11516</c:v>
                </c:pt>
                <c:pt idx="1">
                  <c:v>-8.7609000000000006E-2</c:v>
                </c:pt>
                <c:pt idx="2">
                  <c:v>-5.6917000000000002E-2</c:v>
                </c:pt>
                <c:pt idx="3">
                  <c:v>-2.4618000000000001E-2</c:v>
                </c:pt>
                <c:pt idx="4">
                  <c:v>8.1829999999999993E-3</c:v>
                </c:pt>
                <c:pt idx="5">
                  <c:v>4.0735E-2</c:v>
                </c:pt>
                <c:pt idx="6">
                  <c:v>7.2547E-2</c:v>
                </c:pt>
                <c:pt idx="7">
                  <c:v>0.10332</c:v>
                </c:pt>
                <c:pt idx="8">
                  <c:v>0.13288</c:v>
                </c:pt>
                <c:pt idx="9">
                  <c:v>0.16114100000000001</c:v>
                </c:pt>
                <c:pt idx="10">
                  <c:v>0.188078</c:v>
                </c:pt>
                <c:pt idx="11">
                  <c:v>0.213699</c:v>
                </c:pt>
                <c:pt idx="12">
                  <c:v>0.238041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E97-414F-893A-4DD51166CE14}"/>
            </c:ext>
          </c:extLst>
        </c:ser>
        <c:ser>
          <c:idx val="10"/>
          <c:order val="10"/>
          <c:tx>
            <c:strRef>
              <c:f>'Pivot Analysis'!$L$1:$L$2</c:f>
              <c:strCache>
                <c:ptCount val="1"/>
                <c:pt idx="0">
                  <c:v>0.15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Analysis'!$L$3:$L$16</c:f>
              <c:numCache>
                <c:formatCode>General</c:formatCode>
                <c:ptCount val="13"/>
                <c:pt idx="0">
                  <c:v>-0.12828000000000001</c:v>
                </c:pt>
                <c:pt idx="1">
                  <c:v>-0.10040399999999999</c:v>
                </c:pt>
                <c:pt idx="2">
                  <c:v>-6.9351999999999997E-2</c:v>
                </c:pt>
                <c:pt idx="3">
                  <c:v>-3.6672000000000003E-2</c:v>
                </c:pt>
                <c:pt idx="4">
                  <c:v>-3.4849999999999998E-3</c:v>
                </c:pt>
                <c:pt idx="5">
                  <c:v>2.9448999999999999E-2</c:v>
                </c:pt>
                <c:pt idx="6">
                  <c:v>6.1636000000000003E-2</c:v>
                </c:pt>
                <c:pt idx="7">
                  <c:v>9.2771000000000006E-2</c:v>
                </c:pt>
                <c:pt idx="8">
                  <c:v>0.122678</c:v>
                </c:pt>
                <c:pt idx="9">
                  <c:v>0.15127199999999999</c:v>
                </c:pt>
                <c:pt idx="10">
                  <c:v>0.17852599999999999</c:v>
                </c:pt>
                <c:pt idx="11">
                  <c:v>0.20444899999999999</c:v>
                </c:pt>
                <c:pt idx="12">
                  <c:v>0.229077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E97-414F-893A-4DD51166C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089584"/>
        <c:axId val="401075184"/>
      </c:barChart>
      <c:catAx>
        <c:axId val="40108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075184"/>
        <c:crosses val="autoZero"/>
        <c:auto val="1"/>
        <c:lblAlgn val="ctr"/>
        <c:lblOffset val="100"/>
        <c:noMultiLvlLbl val="0"/>
      </c:catAx>
      <c:valAx>
        <c:axId val="40107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08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[SSTO Results.xlsx]Pivot Analysis!PivotTable1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Analysis'!$B$1:$B$2</c:f>
              <c:strCache>
                <c:ptCount val="1"/>
                <c:pt idx="0">
                  <c:v>0.05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Analysis'!$B$3:$B$16</c:f>
              <c:numCache>
                <c:formatCode>General</c:formatCode>
                <c:ptCount val="13"/>
                <c:pt idx="0">
                  <c:v>-9.5139999999999999E-3</c:v>
                </c:pt>
                <c:pt idx="1">
                  <c:v>1.5428000000000001E-2</c:v>
                </c:pt>
                <c:pt idx="2">
                  <c:v>4.3212E-2</c:v>
                </c:pt>
                <c:pt idx="3">
                  <c:v>7.2451000000000002E-2</c:v>
                </c:pt>
                <c:pt idx="4">
                  <c:v>0.102145</c:v>
                </c:pt>
                <c:pt idx="5">
                  <c:v>0.13161200000000001</c:v>
                </c:pt>
                <c:pt idx="6">
                  <c:v>0.160411</c:v>
                </c:pt>
                <c:pt idx="7">
                  <c:v>0.18826799999999999</c:v>
                </c:pt>
                <c:pt idx="8">
                  <c:v>0.215028</c:v>
                </c:pt>
                <c:pt idx="9">
                  <c:v>0.24061199999999999</c:v>
                </c:pt>
                <c:pt idx="10">
                  <c:v>0.26499699999999998</c:v>
                </c:pt>
                <c:pt idx="11">
                  <c:v>0.28819099999999997</c:v>
                </c:pt>
                <c:pt idx="12">
                  <c:v>0.310226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1F-4692-BF9D-DA4A4B78994E}"/>
            </c:ext>
          </c:extLst>
        </c:ser>
        <c:ser>
          <c:idx val="1"/>
          <c:order val="1"/>
          <c:tx>
            <c:strRef>
              <c:f>'Pivot Analysis'!$C$1:$C$2</c:f>
              <c:strCache>
                <c:ptCount val="1"/>
                <c:pt idx="0">
                  <c:v>0.06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Analysis'!$C$3:$C$16</c:f>
              <c:numCache>
                <c:formatCode>General</c:formatCode>
                <c:ptCount val="13"/>
                <c:pt idx="0">
                  <c:v>-2.0253E-2</c:v>
                </c:pt>
                <c:pt idx="1">
                  <c:v>4.9540000000000001E-3</c:v>
                </c:pt>
                <c:pt idx="2">
                  <c:v>3.3033E-2</c:v>
                </c:pt>
                <c:pt idx="3">
                  <c:v>6.2584000000000001E-2</c:v>
                </c:pt>
                <c:pt idx="4">
                  <c:v>9.2592999999999995E-2</c:v>
                </c:pt>
                <c:pt idx="5">
                  <c:v>0.122374</c:v>
                </c:pt>
                <c:pt idx="6">
                  <c:v>0.151479</c:v>
                </c:pt>
                <c:pt idx="7">
                  <c:v>0.17963299999999999</c:v>
                </c:pt>
                <c:pt idx="8">
                  <c:v>0.206677</c:v>
                </c:pt>
                <c:pt idx="9">
                  <c:v>0.23253399999999999</c:v>
                </c:pt>
                <c:pt idx="10">
                  <c:v>0.25717800000000002</c:v>
                </c:pt>
                <c:pt idx="11">
                  <c:v>0.28061900000000001</c:v>
                </c:pt>
                <c:pt idx="12">
                  <c:v>0.30288799999999999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1F-4692-BF9D-DA4A4B78994E}"/>
            </c:ext>
          </c:extLst>
        </c:ser>
        <c:ser>
          <c:idx val="2"/>
          <c:order val="2"/>
          <c:tx>
            <c:strRef>
              <c:f>'Pivot Analysis'!$D$1:$D$2</c:f>
              <c:strCache>
                <c:ptCount val="1"/>
                <c:pt idx="0">
                  <c:v>0.07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Analysis'!$D$3:$D$16</c:f>
              <c:numCache>
                <c:formatCode>General</c:formatCode>
                <c:ptCount val="13"/>
                <c:pt idx="0">
                  <c:v>-3.1223999999999998E-2</c:v>
                </c:pt>
                <c:pt idx="1">
                  <c:v>-5.7460000000000002E-3</c:v>
                </c:pt>
                <c:pt idx="2">
                  <c:v>2.2636E-2</c:v>
                </c:pt>
                <c:pt idx="3">
                  <c:v>5.2504000000000002E-2</c:v>
                </c:pt>
                <c:pt idx="4">
                  <c:v>8.2836000000000007E-2</c:v>
                </c:pt>
                <c:pt idx="5">
                  <c:v>0.112937</c:v>
                </c:pt>
                <c:pt idx="6">
                  <c:v>0.14235600000000001</c:v>
                </c:pt>
                <c:pt idx="7">
                  <c:v>0.17081199999999999</c:v>
                </c:pt>
                <c:pt idx="8">
                  <c:v>0.19814699999999999</c:v>
                </c:pt>
                <c:pt idx="9">
                  <c:v>0.22428100000000001</c:v>
                </c:pt>
                <c:pt idx="10">
                  <c:v>0.24918999999999999</c:v>
                </c:pt>
                <c:pt idx="11">
                  <c:v>0.27288299999999999</c:v>
                </c:pt>
                <c:pt idx="12">
                  <c:v>0.29539300000000002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1F-4692-BF9D-DA4A4B78994E}"/>
            </c:ext>
          </c:extLst>
        </c:ser>
        <c:ser>
          <c:idx val="3"/>
          <c:order val="3"/>
          <c:tx>
            <c:strRef>
              <c:f>'Pivot Analysis'!$E$1:$E$2</c:f>
              <c:strCache>
                <c:ptCount val="1"/>
                <c:pt idx="0">
                  <c:v>0.08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Analysis'!$E$3:$E$16</c:f>
              <c:numCache>
                <c:formatCode>General</c:formatCode>
                <c:ptCount val="13"/>
                <c:pt idx="0">
                  <c:v>-4.2432999999999998E-2</c:v>
                </c:pt>
                <c:pt idx="1">
                  <c:v>-1.6677999999999998E-2</c:v>
                </c:pt>
                <c:pt idx="2">
                  <c:v>1.2012E-2</c:v>
                </c:pt>
                <c:pt idx="3">
                  <c:v>4.2204999999999999E-2</c:v>
                </c:pt>
                <c:pt idx="4">
                  <c:v>7.2867000000000001E-2</c:v>
                </c:pt>
                <c:pt idx="5">
                  <c:v>0.103295</c:v>
                </c:pt>
                <c:pt idx="6">
                  <c:v>0.13303300000000001</c:v>
                </c:pt>
                <c:pt idx="7">
                  <c:v>0.161799</c:v>
                </c:pt>
                <c:pt idx="8">
                  <c:v>0.18943099999999999</c:v>
                </c:pt>
                <c:pt idx="9">
                  <c:v>0.21584999999999999</c:v>
                </c:pt>
                <c:pt idx="10">
                  <c:v>0.24102899999999999</c:v>
                </c:pt>
                <c:pt idx="11">
                  <c:v>0.26497999999999999</c:v>
                </c:pt>
                <c:pt idx="12">
                  <c:v>0.28773399999999999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1F-4692-BF9D-DA4A4B78994E}"/>
            </c:ext>
          </c:extLst>
        </c:ser>
        <c:ser>
          <c:idx val="4"/>
          <c:order val="4"/>
          <c:tx>
            <c:strRef>
              <c:f>'Pivot Analysis'!$F$1:$F$2</c:f>
              <c:strCache>
                <c:ptCount val="1"/>
                <c:pt idx="0">
                  <c:v>0.09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Analysis'!$F$3:$F$16</c:f>
              <c:numCache>
                <c:formatCode>General</c:formatCode>
                <c:ptCount val="13"/>
                <c:pt idx="0">
                  <c:v>-5.3887999999999998E-2</c:v>
                </c:pt>
                <c:pt idx="1">
                  <c:v>-2.785E-2</c:v>
                </c:pt>
                <c:pt idx="2">
                  <c:v>1.155E-3</c:v>
                </c:pt>
                <c:pt idx="3">
                  <c:v>3.168E-2</c:v>
                </c:pt>
                <c:pt idx="4">
                  <c:v>6.2678999999999999E-2</c:v>
                </c:pt>
                <c:pt idx="5">
                  <c:v>9.3441999999999997E-2</c:v>
                </c:pt>
                <c:pt idx="6">
                  <c:v>0.123506</c:v>
                </c:pt>
                <c:pt idx="7">
                  <c:v>0.152588</c:v>
                </c:pt>
                <c:pt idx="8">
                  <c:v>0.18052399999999999</c:v>
                </c:pt>
                <c:pt idx="9">
                  <c:v>0.207233</c:v>
                </c:pt>
                <c:pt idx="10">
                  <c:v>0.23268900000000001</c:v>
                </c:pt>
                <c:pt idx="11">
                  <c:v>0.25690299999999999</c:v>
                </c:pt>
                <c:pt idx="12">
                  <c:v>0.27990700000000002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1F-4692-BF9D-DA4A4B78994E}"/>
            </c:ext>
          </c:extLst>
        </c:ser>
        <c:ser>
          <c:idx val="5"/>
          <c:order val="5"/>
          <c:tx>
            <c:strRef>
              <c:f>'Pivot Analysis'!$G$1:$G$2</c:f>
              <c:strCache>
                <c:ptCount val="1"/>
                <c:pt idx="0">
                  <c:v>0.1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Analysis'!$G$3:$G$16</c:f>
              <c:numCache>
                <c:formatCode>General</c:formatCode>
                <c:ptCount val="13"/>
                <c:pt idx="0">
                  <c:v>-6.5598000000000004E-2</c:v>
                </c:pt>
                <c:pt idx="1">
                  <c:v>-3.9271E-2</c:v>
                </c:pt>
                <c:pt idx="2">
                  <c:v>-9.9430000000000004E-3</c:v>
                </c:pt>
                <c:pt idx="3">
                  <c:v>2.0920999999999999E-2</c:v>
                </c:pt>
                <c:pt idx="4">
                  <c:v>5.2263999999999998E-2</c:v>
                </c:pt>
                <c:pt idx="5">
                  <c:v>8.3368999999999999E-2</c:v>
                </c:pt>
                <c:pt idx="6">
                  <c:v>0.11376699999999999</c:v>
                </c:pt>
                <c:pt idx="7">
                  <c:v>0.14317199999999999</c:v>
                </c:pt>
                <c:pt idx="8">
                  <c:v>0.17141799999999999</c:v>
                </c:pt>
                <c:pt idx="9">
                  <c:v>0.19842399999999999</c:v>
                </c:pt>
                <c:pt idx="10">
                  <c:v>0.224163</c:v>
                </c:pt>
                <c:pt idx="11">
                  <c:v>0.24864600000000001</c:v>
                </c:pt>
                <c:pt idx="12">
                  <c:v>0.27190599999999998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31F-4692-BF9D-DA4A4B78994E}"/>
            </c:ext>
          </c:extLst>
        </c:ser>
        <c:ser>
          <c:idx val="6"/>
          <c:order val="6"/>
          <c:tx>
            <c:strRef>
              <c:f>'Pivot Analysis'!$H$1:$H$2</c:f>
              <c:strCache>
                <c:ptCount val="1"/>
                <c:pt idx="0">
                  <c:v>0.11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Analysis'!$H$3:$H$16</c:f>
              <c:numCache>
                <c:formatCode>General</c:formatCode>
                <c:ptCount val="13"/>
                <c:pt idx="0">
                  <c:v>-7.7571000000000001E-2</c:v>
                </c:pt>
                <c:pt idx="1">
                  <c:v>-5.0948E-2</c:v>
                </c:pt>
                <c:pt idx="2">
                  <c:v>-2.1291000000000001E-2</c:v>
                </c:pt>
                <c:pt idx="3">
                  <c:v>9.92E-3</c:v>
                </c:pt>
                <c:pt idx="4">
                  <c:v>4.1614999999999999E-2</c:v>
                </c:pt>
                <c:pt idx="5">
                  <c:v>7.3068999999999995E-2</c:v>
                </c:pt>
                <c:pt idx="6">
                  <c:v>0.10381</c:v>
                </c:pt>
                <c:pt idx="7">
                  <c:v>0.133545</c:v>
                </c:pt>
                <c:pt idx="8">
                  <c:v>0.162108</c:v>
                </c:pt>
                <c:pt idx="9">
                  <c:v>0.189418</c:v>
                </c:pt>
                <c:pt idx="10">
                  <c:v>0.215446</c:v>
                </c:pt>
                <c:pt idx="11">
                  <c:v>0.240204</c:v>
                </c:pt>
                <c:pt idx="12">
                  <c:v>0.26372499999999999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31F-4692-BF9D-DA4A4B78994E}"/>
            </c:ext>
          </c:extLst>
        </c:ser>
        <c:ser>
          <c:idx val="7"/>
          <c:order val="7"/>
          <c:tx>
            <c:strRef>
              <c:f>'Pivot Analysis'!$I$1:$I$2</c:f>
              <c:strCache>
                <c:ptCount val="1"/>
                <c:pt idx="0">
                  <c:v>0.12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Analysis'!$I$3:$I$16</c:f>
              <c:numCache>
                <c:formatCode>General</c:formatCode>
                <c:ptCount val="13"/>
                <c:pt idx="0">
                  <c:v>-8.9816000000000007E-2</c:v>
                </c:pt>
                <c:pt idx="1">
                  <c:v>-6.2890000000000001E-2</c:v>
                </c:pt>
                <c:pt idx="2">
                  <c:v>-3.2896000000000002E-2</c:v>
                </c:pt>
                <c:pt idx="3">
                  <c:v>-1.3309999999999999E-3</c:v>
                </c:pt>
                <c:pt idx="4">
                  <c:v>3.0724999999999999E-2</c:v>
                </c:pt>
                <c:pt idx="5">
                  <c:v>6.2535999999999994E-2</c:v>
                </c:pt>
                <c:pt idx="6">
                  <c:v>9.3626000000000001E-2</c:v>
                </c:pt>
                <c:pt idx="7">
                  <c:v>0.123699</c:v>
                </c:pt>
                <c:pt idx="8">
                  <c:v>0.152587</c:v>
                </c:pt>
                <c:pt idx="9">
                  <c:v>0.18020600000000001</c:v>
                </c:pt>
                <c:pt idx="10">
                  <c:v>0.20653099999999999</c:v>
                </c:pt>
                <c:pt idx="11">
                  <c:v>0.23157</c:v>
                </c:pt>
                <c:pt idx="12">
                  <c:v>0.25535799999999997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31F-4692-BF9D-DA4A4B78994E}"/>
            </c:ext>
          </c:extLst>
        </c:ser>
        <c:ser>
          <c:idx val="8"/>
          <c:order val="8"/>
          <c:tx>
            <c:strRef>
              <c:f>'Pivot Analysis'!$J$1:$J$2</c:f>
              <c:strCache>
                <c:ptCount val="1"/>
                <c:pt idx="0">
                  <c:v>0.13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Analysis'!$J$3:$J$16</c:f>
              <c:numCache>
                <c:formatCode>General</c:formatCode>
                <c:ptCount val="13"/>
                <c:pt idx="0">
                  <c:v>-0.102343</c:v>
                </c:pt>
                <c:pt idx="1">
                  <c:v>-7.5106999999999993E-2</c:v>
                </c:pt>
                <c:pt idx="2">
                  <c:v>-4.4769000000000003E-2</c:v>
                </c:pt>
                <c:pt idx="3">
                  <c:v>-1.2841E-2</c:v>
                </c:pt>
                <c:pt idx="4">
                  <c:v>1.9584000000000001E-2</c:v>
                </c:pt>
                <c:pt idx="5">
                  <c:v>5.1761000000000001E-2</c:v>
                </c:pt>
                <c:pt idx="6">
                  <c:v>8.3208000000000004E-2</c:v>
                </c:pt>
                <c:pt idx="7">
                  <c:v>0.113626</c:v>
                </c:pt>
                <c:pt idx="8">
                  <c:v>0.142846</c:v>
                </c:pt>
                <c:pt idx="9">
                  <c:v>0.17078299999999999</c:v>
                </c:pt>
                <c:pt idx="10">
                  <c:v>0.19741</c:v>
                </c:pt>
                <c:pt idx="11">
                  <c:v>0.22273699999999999</c:v>
                </c:pt>
                <c:pt idx="12">
                  <c:v>0.24679899999999999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31F-4692-BF9D-DA4A4B78994E}"/>
            </c:ext>
          </c:extLst>
        </c:ser>
        <c:ser>
          <c:idx val="9"/>
          <c:order val="9"/>
          <c:tx>
            <c:strRef>
              <c:f>'Pivot Analysis'!$K$1:$K$2</c:f>
              <c:strCache>
                <c:ptCount val="1"/>
                <c:pt idx="0">
                  <c:v>0.14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Analysis'!$K$3:$K$16</c:f>
              <c:numCache>
                <c:formatCode>General</c:formatCode>
                <c:ptCount val="13"/>
                <c:pt idx="0">
                  <c:v>-0.11516</c:v>
                </c:pt>
                <c:pt idx="1">
                  <c:v>-8.7609000000000006E-2</c:v>
                </c:pt>
                <c:pt idx="2">
                  <c:v>-5.6917000000000002E-2</c:v>
                </c:pt>
                <c:pt idx="3">
                  <c:v>-2.4618000000000001E-2</c:v>
                </c:pt>
                <c:pt idx="4">
                  <c:v>8.1829999999999993E-3</c:v>
                </c:pt>
                <c:pt idx="5">
                  <c:v>4.0735E-2</c:v>
                </c:pt>
                <c:pt idx="6">
                  <c:v>7.2547E-2</c:v>
                </c:pt>
                <c:pt idx="7">
                  <c:v>0.10332</c:v>
                </c:pt>
                <c:pt idx="8">
                  <c:v>0.13288</c:v>
                </c:pt>
                <c:pt idx="9">
                  <c:v>0.16114100000000001</c:v>
                </c:pt>
                <c:pt idx="10">
                  <c:v>0.188078</c:v>
                </c:pt>
                <c:pt idx="11">
                  <c:v>0.213699</c:v>
                </c:pt>
                <c:pt idx="12">
                  <c:v>0.238041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31F-4692-BF9D-DA4A4B78994E}"/>
            </c:ext>
          </c:extLst>
        </c:ser>
        <c:ser>
          <c:idx val="10"/>
          <c:order val="10"/>
          <c:tx>
            <c:strRef>
              <c:f>'Pivot Analysis'!$L$1:$L$2</c:f>
              <c:strCache>
                <c:ptCount val="1"/>
                <c:pt idx="0">
                  <c:v>0.15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'Pivot Analysis'!$A$3:$A$16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'Pivot Analysis'!$L$3:$L$16</c:f>
              <c:numCache>
                <c:formatCode>General</c:formatCode>
                <c:ptCount val="13"/>
                <c:pt idx="0">
                  <c:v>-0.12828000000000001</c:v>
                </c:pt>
                <c:pt idx="1">
                  <c:v>-0.10040399999999999</c:v>
                </c:pt>
                <c:pt idx="2">
                  <c:v>-6.9351999999999997E-2</c:v>
                </c:pt>
                <c:pt idx="3">
                  <c:v>-3.6672000000000003E-2</c:v>
                </c:pt>
                <c:pt idx="4">
                  <c:v>-3.4849999999999998E-3</c:v>
                </c:pt>
                <c:pt idx="5">
                  <c:v>2.9448999999999999E-2</c:v>
                </c:pt>
                <c:pt idx="6">
                  <c:v>6.1636000000000003E-2</c:v>
                </c:pt>
                <c:pt idx="7">
                  <c:v>9.2771000000000006E-2</c:v>
                </c:pt>
                <c:pt idx="8">
                  <c:v>0.122678</c:v>
                </c:pt>
                <c:pt idx="9">
                  <c:v>0.15127199999999999</c:v>
                </c:pt>
                <c:pt idx="10">
                  <c:v>0.17852599999999999</c:v>
                </c:pt>
                <c:pt idx="11">
                  <c:v>0.20444899999999999</c:v>
                </c:pt>
                <c:pt idx="12">
                  <c:v>0.229077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31F-4692-BF9D-DA4A4B789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746320"/>
        <c:axId val="1657759280"/>
      </c:lineChart>
      <c:catAx>
        <c:axId val="165774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759280"/>
        <c:crosses val="autoZero"/>
        <c:auto val="1"/>
        <c:lblAlgn val="ctr"/>
        <c:lblOffset val="100"/>
        <c:noMultiLvlLbl val="0"/>
      </c:catAx>
      <c:valAx>
        <c:axId val="165775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74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Chemical</a:t>
            </a:r>
            <a:r>
              <a:rPr lang="en-IN" baseline="0"/>
              <a:t> vs, Nuclear SSTO: Payload Fraction Comparison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Comparison!$B$1</c:f>
              <c:strCache>
                <c:ptCount val="1"/>
                <c:pt idx="0">
                  <c:v>Chemical(Isp=450)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Comparison!$A$2:$A$12</c:f>
              <c:numCache>
                <c:formatCode>General</c:formatCode>
                <c:ptCount val="11"/>
                <c:pt idx="0">
                  <c:v>0.05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0.09</c:v>
                </c:pt>
                <c:pt idx="5">
                  <c:v>0.1</c:v>
                </c:pt>
                <c:pt idx="6">
                  <c:v>0.11</c:v>
                </c:pt>
                <c:pt idx="7">
                  <c:v>0.12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0.15</c:v>
                </c:pt>
              </c:numCache>
            </c:numRef>
          </c:cat>
          <c:val>
            <c:numRef>
              <c:f>Comparison!$B$2:$B$12</c:f>
              <c:numCache>
                <c:formatCode>General</c:formatCode>
                <c:ptCount val="11"/>
                <c:pt idx="0">
                  <c:v>7.2451069483388211E-2</c:v>
                </c:pt>
                <c:pt idx="1">
                  <c:v>6.2583527669381703E-2</c:v>
                </c:pt>
                <c:pt idx="2">
                  <c:v>5.2503780655073974E-2</c:v>
                </c:pt>
                <c:pt idx="3">
                  <c:v>4.220490870567261E-2</c:v>
                </c:pt>
                <c:pt idx="4">
                  <c:v>3.1679687922218466E-2</c:v>
                </c:pt>
                <c:pt idx="5">
                  <c:v>2.0920573343576439E-2</c:v>
                </c:pt>
                <c:pt idx="6">
                  <c:v>9.9196809092346079E-3</c:v>
                </c:pt>
                <c:pt idx="7">
                  <c:v>-1.3312318077059024E-3</c:v>
                </c:pt>
                <c:pt idx="8">
                  <c:v>-1.2840786196300233E-2</c:v>
                </c:pt>
                <c:pt idx="9">
                  <c:v>-2.461800464044327E-2</c:v>
                </c:pt>
                <c:pt idx="10">
                  <c:v>-3.6672334106801402E-2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8-455B-B018-056FD78CD4E0}"/>
            </c:ext>
          </c:extLst>
        </c:ser>
        <c:ser>
          <c:idx val="1"/>
          <c:order val="1"/>
          <c:tx>
            <c:strRef>
              <c:f>Comparison!$C$1</c:f>
              <c:strCache>
                <c:ptCount val="1"/>
                <c:pt idx="0">
                  <c:v>Nuclear(Isp=800)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Comparison!$A$2:$A$12</c:f>
              <c:numCache>
                <c:formatCode>General</c:formatCode>
                <c:ptCount val="11"/>
                <c:pt idx="0">
                  <c:v>0.05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0.09</c:v>
                </c:pt>
                <c:pt idx="5">
                  <c:v>0.1</c:v>
                </c:pt>
                <c:pt idx="6">
                  <c:v>0.11</c:v>
                </c:pt>
                <c:pt idx="7">
                  <c:v>0.12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0.15</c:v>
                </c:pt>
              </c:numCache>
            </c:numRef>
          </c:cat>
          <c:val>
            <c:numRef>
              <c:f>Comparison!$C$2:$C$12</c:f>
              <c:numCache>
                <c:formatCode>General</c:formatCode>
                <c:ptCount val="11"/>
                <c:pt idx="0">
                  <c:v>0.26499678201309179</c:v>
                </c:pt>
                <c:pt idx="1">
                  <c:v>0.25717759884301833</c:v>
                </c:pt>
                <c:pt idx="2">
                  <c:v>0.24919026119616905</c:v>
                </c:pt>
                <c:pt idx="3">
                  <c:v>0.24102928577438823</c:v>
                </c:pt>
                <c:pt idx="4">
                  <c:v>0.23268894825542549</c:v>
                </c:pt>
                <c:pt idx="5">
                  <c:v>0.22416326990270799</c:v>
                </c:pt>
                <c:pt idx="6">
                  <c:v>0.21544600327240135</c:v>
                </c:pt>
                <c:pt idx="7">
                  <c:v>0.20653061694595137</c:v>
                </c:pt>
                <c:pt idx="8">
                  <c:v>0.19741027920969792</c:v>
                </c:pt>
                <c:pt idx="9">
                  <c:v>0.18807784059585719</c:v>
                </c:pt>
                <c:pt idx="10">
                  <c:v>0.17852581519110261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8-455B-B018-056FD78CD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8392592"/>
        <c:axId val="1698400272"/>
      </c:barChart>
      <c:catAx>
        <c:axId val="1698392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Structural</a:t>
                </a:r>
                <a:r>
                  <a:rPr lang="en-IN" baseline="0"/>
                  <a:t> Coefficient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400272"/>
        <c:crosses val="autoZero"/>
        <c:auto val="1"/>
        <c:lblAlgn val="ctr"/>
        <c:lblOffset val="100"/>
        <c:noMultiLvlLbl val="0"/>
      </c:catAx>
      <c:valAx>
        <c:axId val="169840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Payload</a:t>
                </a:r>
                <a:r>
                  <a:rPr lang="en-IN" baseline="0"/>
                  <a:t> Fraction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39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[SSTO Results.xlsx]Surface Plot!PivotTable2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tx>
            <c:strRef>
              <c:f>'Surface Plot'!$B$1:$B$2</c:f>
              <c:strCache>
                <c:ptCount val="1"/>
                <c:pt idx="0">
                  <c:v>0.05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Plot'!$B$3:$B$16</c:f>
              <c:numCache>
                <c:formatCode>General</c:formatCode>
                <c:ptCount val="13"/>
                <c:pt idx="0">
                  <c:v>-9.5139999999999999E-3</c:v>
                </c:pt>
                <c:pt idx="1">
                  <c:v>1.5428000000000001E-2</c:v>
                </c:pt>
                <c:pt idx="2">
                  <c:v>4.3212E-2</c:v>
                </c:pt>
                <c:pt idx="3">
                  <c:v>7.2451000000000002E-2</c:v>
                </c:pt>
                <c:pt idx="4">
                  <c:v>0.102145</c:v>
                </c:pt>
                <c:pt idx="5">
                  <c:v>0.13161200000000001</c:v>
                </c:pt>
                <c:pt idx="6">
                  <c:v>0.160411</c:v>
                </c:pt>
                <c:pt idx="7">
                  <c:v>0.18826799999999999</c:v>
                </c:pt>
                <c:pt idx="8">
                  <c:v>0.215028</c:v>
                </c:pt>
                <c:pt idx="9">
                  <c:v>0.24061199999999999</c:v>
                </c:pt>
                <c:pt idx="10">
                  <c:v>0.26499699999999998</c:v>
                </c:pt>
                <c:pt idx="11">
                  <c:v>0.28819099999999997</c:v>
                </c:pt>
                <c:pt idx="12">
                  <c:v>0.310226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1-43E4-840E-59AD37570FB2}"/>
            </c:ext>
          </c:extLst>
        </c:ser>
        <c:ser>
          <c:idx val="1"/>
          <c:order val="1"/>
          <c:tx>
            <c:strRef>
              <c:f>'Surface Plot'!$C$1:$C$2</c:f>
              <c:strCache>
                <c:ptCount val="1"/>
                <c:pt idx="0">
                  <c:v>0.06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Plot'!$C$3:$C$16</c:f>
              <c:numCache>
                <c:formatCode>General</c:formatCode>
                <c:ptCount val="13"/>
                <c:pt idx="0">
                  <c:v>-2.0253E-2</c:v>
                </c:pt>
                <c:pt idx="1">
                  <c:v>4.9540000000000001E-3</c:v>
                </c:pt>
                <c:pt idx="2">
                  <c:v>3.3033E-2</c:v>
                </c:pt>
                <c:pt idx="3">
                  <c:v>6.2584000000000001E-2</c:v>
                </c:pt>
                <c:pt idx="4">
                  <c:v>9.2592999999999995E-2</c:v>
                </c:pt>
                <c:pt idx="5">
                  <c:v>0.122374</c:v>
                </c:pt>
                <c:pt idx="6">
                  <c:v>0.151479</c:v>
                </c:pt>
                <c:pt idx="7">
                  <c:v>0.17963299999999999</c:v>
                </c:pt>
                <c:pt idx="8">
                  <c:v>0.206677</c:v>
                </c:pt>
                <c:pt idx="9">
                  <c:v>0.23253399999999999</c:v>
                </c:pt>
                <c:pt idx="10">
                  <c:v>0.25717800000000002</c:v>
                </c:pt>
                <c:pt idx="11">
                  <c:v>0.28061900000000001</c:v>
                </c:pt>
                <c:pt idx="12">
                  <c:v>0.30288799999999999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41-43E4-840E-59AD37570FB2}"/>
            </c:ext>
          </c:extLst>
        </c:ser>
        <c:ser>
          <c:idx val="2"/>
          <c:order val="2"/>
          <c:tx>
            <c:strRef>
              <c:f>'Surface Plot'!$D$1:$D$2</c:f>
              <c:strCache>
                <c:ptCount val="1"/>
                <c:pt idx="0">
                  <c:v>0.07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Plot'!$D$3:$D$16</c:f>
              <c:numCache>
                <c:formatCode>General</c:formatCode>
                <c:ptCount val="13"/>
                <c:pt idx="0">
                  <c:v>-3.1223999999999998E-2</c:v>
                </c:pt>
                <c:pt idx="1">
                  <c:v>-5.7460000000000002E-3</c:v>
                </c:pt>
                <c:pt idx="2">
                  <c:v>2.2636E-2</c:v>
                </c:pt>
                <c:pt idx="3">
                  <c:v>5.2504000000000002E-2</c:v>
                </c:pt>
                <c:pt idx="4">
                  <c:v>8.2836000000000007E-2</c:v>
                </c:pt>
                <c:pt idx="5">
                  <c:v>0.112937</c:v>
                </c:pt>
                <c:pt idx="6">
                  <c:v>0.14235600000000001</c:v>
                </c:pt>
                <c:pt idx="7">
                  <c:v>0.17081199999999999</c:v>
                </c:pt>
                <c:pt idx="8">
                  <c:v>0.19814699999999999</c:v>
                </c:pt>
                <c:pt idx="9">
                  <c:v>0.22428100000000001</c:v>
                </c:pt>
                <c:pt idx="10">
                  <c:v>0.24918999999999999</c:v>
                </c:pt>
                <c:pt idx="11">
                  <c:v>0.27288299999999999</c:v>
                </c:pt>
                <c:pt idx="12">
                  <c:v>0.29539300000000002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41-43E4-840E-59AD37570FB2}"/>
            </c:ext>
          </c:extLst>
        </c:ser>
        <c:ser>
          <c:idx val="3"/>
          <c:order val="3"/>
          <c:tx>
            <c:strRef>
              <c:f>'Surface Plot'!$E$1:$E$2</c:f>
              <c:strCache>
                <c:ptCount val="1"/>
                <c:pt idx="0">
                  <c:v>0.08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Plot'!$E$3:$E$16</c:f>
              <c:numCache>
                <c:formatCode>General</c:formatCode>
                <c:ptCount val="13"/>
                <c:pt idx="0">
                  <c:v>-4.2432999999999998E-2</c:v>
                </c:pt>
                <c:pt idx="1">
                  <c:v>-1.6677999999999998E-2</c:v>
                </c:pt>
                <c:pt idx="2">
                  <c:v>1.2012E-2</c:v>
                </c:pt>
                <c:pt idx="3">
                  <c:v>4.2204999999999999E-2</c:v>
                </c:pt>
                <c:pt idx="4">
                  <c:v>7.2867000000000001E-2</c:v>
                </c:pt>
                <c:pt idx="5">
                  <c:v>0.103295</c:v>
                </c:pt>
                <c:pt idx="6">
                  <c:v>0.13303300000000001</c:v>
                </c:pt>
                <c:pt idx="7">
                  <c:v>0.161799</c:v>
                </c:pt>
                <c:pt idx="8">
                  <c:v>0.18943099999999999</c:v>
                </c:pt>
                <c:pt idx="9">
                  <c:v>0.21584999999999999</c:v>
                </c:pt>
                <c:pt idx="10">
                  <c:v>0.24102899999999999</c:v>
                </c:pt>
                <c:pt idx="11">
                  <c:v>0.26497999999999999</c:v>
                </c:pt>
                <c:pt idx="12">
                  <c:v>0.28773399999999999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41-43E4-840E-59AD37570FB2}"/>
            </c:ext>
          </c:extLst>
        </c:ser>
        <c:ser>
          <c:idx val="4"/>
          <c:order val="4"/>
          <c:tx>
            <c:strRef>
              <c:f>'Surface Plot'!$F$1:$F$2</c:f>
              <c:strCache>
                <c:ptCount val="1"/>
                <c:pt idx="0">
                  <c:v>0.09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Plot'!$F$3:$F$16</c:f>
              <c:numCache>
                <c:formatCode>General</c:formatCode>
                <c:ptCount val="13"/>
                <c:pt idx="0">
                  <c:v>-5.3887999999999998E-2</c:v>
                </c:pt>
                <c:pt idx="1">
                  <c:v>-2.785E-2</c:v>
                </c:pt>
                <c:pt idx="2">
                  <c:v>1.155E-3</c:v>
                </c:pt>
                <c:pt idx="3">
                  <c:v>3.168E-2</c:v>
                </c:pt>
                <c:pt idx="4">
                  <c:v>6.2678999999999999E-2</c:v>
                </c:pt>
                <c:pt idx="5">
                  <c:v>9.3441999999999997E-2</c:v>
                </c:pt>
                <c:pt idx="6">
                  <c:v>0.123506</c:v>
                </c:pt>
                <c:pt idx="7">
                  <c:v>0.152588</c:v>
                </c:pt>
                <c:pt idx="8">
                  <c:v>0.18052399999999999</c:v>
                </c:pt>
                <c:pt idx="9">
                  <c:v>0.207233</c:v>
                </c:pt>
                <c:pt idx="10">
                  <c:v>0.23268900000000001</c:v>
                </c:pt>
                <c:pt idx="11">
                  <c:v>0.25690299999999999</c:v>
                </c:pt>
                <c:pt idx="12">
                  <c:v>0.27990700000000002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41-43E4-840E-59AD37570FB2}"/>
            </c:ext>
          </c:extLst>
        </c:ser>
        <c:ser>
          <c:idx val="5"/>
          <c:order val="5"/>
          <c:tx>
            <c:strRef>
              <c:f>'Surface Plot'!$G$1:$G$2</c:f>
              <c:strCache>
                <c:ptCount val="1"/>
                <c:pt idx="0">
                  <c:v>0.1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Plot'!$G$3:$G$16</c:f>
              <c:numCache>
                <c:formatCode>General</c:formatCode>
                <c:ptCount val="13"/>
                <c:pt idx="0">
                  <c:v>-6.5598000000000004E-2</c:v>
                </c:pt>
                <c:pt idx="1">
                  <c:v>-3.9271E-2</c:v>
                </c:pt>
                <c:pt idx="2">
                  <c:v>-9.9430000000000004E-3</c:v>
                </c:pt>
                <c:pt idx="3">
                  <c:v>2.0920999999999999E-2</c:v>
                </c:pt>
                <c:pt idx="4">
                  <c:v>5.2263999999999998E-2</c:v>
                </c:pt>
                <c:pt idx="5">
                  <c:v>8.3368999999999999E-2</c:v>
                </c:pt>
                <c:pt idx="6">
                  <c:v>0.11376699999999999</c:v>
                </c:pt>
                <c:pt idx="7">
                  <c:v>0.14317199999999999</c:v>
                </c:pt>
                <c:pt idx="8">
                  <c:v>0.17141799999999999</c:v>
                </c:pt>
                <c:pt idx="9">
                  <c:v>0.19842399999999999</c:v>
                </c:pt>
                <c:pt idx="10">
                  <c:v>0.224163</c:v>
                </c:pt>
                <c:pt idx="11">
                  <c:v>0.24864600000000001</c:v>
                </c:pt>
                <c:pt idx="12">
                  <c:v>0.27190599999999998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41-43E4-840E-59AD37570FB2}"/>
            </c:ext>
          </c:extLst>
        </c:ser>
        <c:ser>
          <c:idx val="6"/>
          <c:order val="6"/>
          <c:tx>
            <c:strRef>
              <c:f>'Surface Plot'!$H$1:$H$2</c:f>
              <c:strCache>
                <c:ptCount val="1"/>
                <c:pt idx="0">
                  <c:v>0.11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Plot'!$H$3:$H$16</c:f>
              <c:numCache>
                <c:formatCode>General</c:formatCode>
                <c:ptCount val="13"/>
                <c:pt idx="0">
                  <c:v>-7.7571000000000001E-2</c:v>
                </c:pt>
                <c:pt idx="1">
                  <c:v>-5.0948E-2</c:v>
                </c:pt>
                <c:pt idx="2">
                  <c:v>-2.1291000000000001E-2</c:v>
                </c:pt>
                <c:pt idx="3">
                  <c:v>9.92E-3</c:v>
                </c:pt>
                <c:pt idx="4">
                  <c:v>4.1614999999999999E-2</c:v>
                </c:pt>
                <c:pt idx="5">
                  <c:v>7.3068999999999995E-2</c:v>
                </c:pt>
                <c:pt idx="6">
                  <c:v>0.10381</c:v>
                </c:pt>
                <c:pt idx="7">
                  <c:v>0.133545</c:v>
                </c:pt>
                <c:pt idx="8">
                  <c:v>0.162108</c:v>
                </c:pt>
                <c:pt idx="9">
                  <c:v>0.189418</c:v>
                </c:pt>
                <c:pt idx="10">
                  <c:v>0.215446</c:v>
                </c:pt>
                <c:pt idx="11">
                  <c:v>0.240204</c:v>
                </c:pt>
                <c:pt idx="12">
                  <c:v>0.26372499999999999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41-43E4-840E-59AD37570FB2}"/>
            </c:ext>
          </c:extLst>
        </c:ser>
        <c:ser>
          <c:idx val="7"/>
          <c:order val="7"/>
          <c:tx>
            <c:strRef>
              <c:f>'Surface Plot'!$I$1:$I$2</c:f>
              <c:strCache>
                <c:ptCount val="1"/>
                <c:pt idx="0">
                  <c:v>0.12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Plot'!$I$3:$I$16</c:f>
              <c:numCache>
                <c:formatCode>General</c:formatCode>
                <c:ptCount val="13"/>
                <c:pt idx="0">
                  <c:v>-8.9816000000000007E-2</c:v>
                </c:pt>
                <c:pt idx="1">
                  <c:v>-6.2890000000000001E-2</c:v>
                </c:pt>
                <c:pt idx="2">
                  <c:v>-3.2896000000000002E-2</c:v>
                </c:pt>
                <c:pt idx="3">
                  <c:v>-1.3309999999999999E-3</c:v>
                </c:pt>
                <c:pt idx="4">
                  <c:v>3.0724999999999999E-2</c:v>
                </c:pt>
                <c:pt idx="5">
                  <c:v>6.2535999999999994E-2</c:v>
                </c:pt>
                <c:pt idx="6">
                  <c:v>9.3626000000000001E-2</c:v>
                </c:pt>
                <c:pt idx="7">
                  <c:v>0.123699</c:v>
                </c:pt>
                <c:pt idx="8">
                  <c:v>0.152587</c:v>
                </c:pt>
                <c:pt idx="9">
                  <c:v>0.18020600000000001</c:v>
                </c:pt>
                <c:pt idx="10">
                  <c:v>0.20653099999999999</c:v>
                </c:pt>
                <c:pt idx="11">
                  <c:v>0.23157</c:v>
                </c:pt>
                <c:pt idx="12">
                  <c:v>0.25535799999999997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441-43E4-840E-59AD37570FB2}"/>
            </c:ext>
          </c:extLst>
        </c:ser>
        <c:ser>
          <c:idx val="8"/>
          <c:order val="8"/>
          <c:tx>
            <c:strRef>
              <c:f>'Surface Plot'!$J$1:$J$2</c:f>
              <c:strCache>
                <c:ptCount val="1"/>
                <c:pt idx="0">
                  <c:v>0.13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Plot'!$J$3:$J$16</c:f>
              <c:numCache>
                <c:formatCode>General</c:formatCode>
                <c:ptCount val="13"/>
                <c:pt idx="0">
                  <c:v>-0.102343</c:v>
                </c:pt>
                <c:pt idx="1">
                  <c:v>-7.5106999999999993E-2</c:v>
                </c:pt>
                <c:pt idx="2">
                  <c:v>-4.4769000000000003E-2</c:v>
                </c:pt>
                <c:pt idx="3">
                  <c:v>-1.2841E-2</c:v>
                </c:pt>
                <c:pt idx="4">
                  <c:v>1.9584000000000001E-2</c:v>
                </c:pt>
                <c:pt idx="5">
                  <c:v>5.1761000000000001E-2</c:v>
                </c:pt>
                <c:pt idx="6">
                  <c:v>8.3208000000000004E-2</c:v>
                </c:pt>
                <c:pt idx="7">
                  <c:v>0.113626</c:v>
                </c:pt>
                <c:pt idx="8">
                  <c:v>0.142846</c:v>
                </c:pt>
                <c:pt idx="9">
                  <c:v>0.17078299999999999</c:v>
                </c:pt>
                <c:pt idx="10">
                  <c:v>0.19741</c:v>
                </c:pt>
                <c:pt idx="11">
                  <c:v>0.22273699999999999</c:v>
                </c:pt>
                <c:pt idx="12">
                  <c:v>0.24679899999999999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41-43E4-840E-59AD37570FB2}"/>
            </c:ext>
          </c:extLst>
        </c:ser>
        <c:ser>
          <c:idx val="9"/>
          <c:order val="9"/>
          <c:tx>
            <c:strRef>
              <c:f>'Surface Plot'!$K$1:$K$2</c:f>
              <c:strCache>
                <c:ptCount val="1"/>
                <c:pt idx="0">
                  <c:v>0.14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Plot'!$K$3:$K$16</c:f>
              <c:numCache>
                <c:formatCode>General</c:formatCode>
                <c:ptCount val="13"/>
                <c:pt idx="0">
                  <c:v>-0.11516</c:v>
                </c:pt>
                <c:pt idx="1">
                  <c:v>-8.7609000000000006E-2</c:v>
                </c:pt>
                <c:pt idx="2">
                  <c:v>-5.6917000000000002E-2</c:v>
                </c:pt>
                <c:pt idx="3">
                  <c:v>-2.4618000000000001E-2</c:v>
                </c:pt>
                <c:pt idx="4">
                  <c:v>8.1829999999999993E-3</c:v>
                </c:pt>
                <c:pt idx="5">
                  <c:v>4.0735E-2</c:v>
                </c:pt>
                <c:pt idx="6">
                  <c:v>7.2547E-2</c:v>
                </c:pt>
                <c:pt idx="7">
                  <c:v>0.10332</c:v>
                </c:pt>
                <c:pt idx="8">
                  <c:v>0.13288</c:v>
                </c:pt>
                <c:pt idx="9">
                  <c:v>0.16114100000000001</c:v>
                </c:pt>
                <c:pt idx="10">
                  <c:v>0.188078</c:v>
                </c:pt>
                <c:pt idx="11">
                  <c:v>0.213699</c:v>
                </c:pt>
                <c:pt idx="12">
                  <c:v>0.238041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441-43E4-840E-59AD37570FB2}"/>
            </c:ext>
          </c:extLst>
        </c:ser>
        <c:ser>
          <c:idx val="10"/>
          <c:order val="10"/>
          <c:tx>
            <c:strRef>
              <c:f>'Surface Plot'!$L$1:$L$2</c:f>
              <c:strCache>
                <c:ptCount val="1"/>
                <c:pt idx="0">
                  <c:v>0.15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strRef>
              <c:f>'Surface Plot'!$A$3:$A$16</c:f>
              <c:strCache>
                <c:ptCount val="1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</c:v>
                </c:pt>
                <c:pt idx="6">
                  <c:v>600</c:v>
                </c:pt>
                <c:pt idx="7">
                  <c:v>650</c:v>
                </c:pt>
                <c:pt idx="8">
                  <c:v>700</c:v>
                </c:pt>
                <c:pt idx="9">
                  <c:v>750</c:v>
                </c:pt>
                <c:pt idx="10">
                  <c:v>800</c:v>
                </c:pt>
                <c:pt idx="11">
                  <c:v>850</c:v>
                </c:pt>
                <c:pt idx="12">
                  <c:v>900</c:v>
                </c:pt>
              </c:strCache>
            </c:strRef>
          </c:cat>
          <c:val>
            <c:numRef>
              <c:f>'Surface Plot'!$L$3:$L$16</c:f>
              <c:numCache>
                <c:formatCode>General</c:formatCode>
                <c:ptCount val="13"/>
                <c:pt idx="0">
                  <c:v>-0.12828000000000001</c:v>
                </c:pt>
                <c:pt idx="1">
                  <c:v>-0.10040399999999999</c:v>
                </c:pt>
                <c:pt idx="2">
                  <c:v>-6.9351999999999997E-2</c:v>
                </c:pt>
                <c:pt idx="3">
                  <c:v>-3.6672000000000003E-2</c:v>
                </c:pt>
                <c:pt idx="4">
                  <c:v>-3.4849999999999998E-3</c:v>
                </c:pt>
                <c:pt idx="5">
                  <c:v>2.9448999999999999E-2</c:v>
                </c:pt>
                <c:pt idx="6">
                  <c:v>6.1636000000000003E-2</c:v>
                </c:pt>
                <c:pt idx="7">
                  <c:v>9.2771000000000006E-2</c:v>
                </c:pt>
                <c:pt idx="8">
                  <c:v>0.122678</c:v>
                </c:pt>
                <c:pt idx="9">
                  <c:v>0.15127199999999999</c:v>
                </c:pt>
                <c:pt idx="10">
                  <c:v>0.17852599999999999</c:v>
                </c:pt>
                <c:pt idx="11">
                  <c:v>0.20444899999999999</c:v>
                </c:pt>
                <c:pt idx="12">
                  <c:v>0.229077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41-43E4-840E-59AD37570FB2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698398832"/>
        <c:axId val="1698386352"/>
        <c:axId val="1696140064"/>
      </c:surfaceChart>
      <c:catAx>
        <c:axId val="169839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386352"/>
        <c:crosses val="autoZero"/>
        <c:auto val="1"/>
        <c:lblAlgn val="ctr"/>
        <c:lblOffset val="100"/>
        <c:noMultiLvlLbl val="0"/>
      </c:catAx>
      <c:valAx>
        <c:axId val="169838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398832"/>
        <c:crosses val="autoZero"/>
        <c:crossBetween val="midCat"/>
      </c:valAx>
      <c:serAx>
        <c:axId val="16961400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38635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152399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4318A8-3CC1-44C3-9FAD-2ACBF13C97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38100</xdr:colOff>
      <xdr:row>30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871F37-A763-4652-8E85-CB6069B4D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414338</xdr:colOff>
      <xdr:row>18</xdr:row>
      <xdr:rowOff>0</xdr:rowOff>
    </xdr:from>
    <xdr:ext cx="2533650" cy="129791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C23622B-AD42-6132-F89A-C311523489F0}"/>
            </a:ext>
          </a:extLst>
        </xdr:cNvPr>
        <xdr:cNvSpPr txBox="1"/>
      </xdr:nvSpPr>
      <xdr:spPr>
        <a:xfrm>
          <a:off x="5595938" y="3257550"/>
          <a:ext cx="2533650" cy="12979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Chemical SSTO requires epsilon&lt;0.11 for positive payload</a:t>
          </a:r>
        </a:p>
        <a:p>
          <a:r>
            <a:rPr lang="en-IN" sz="1100"/>
            <a:t>Nuclear SSTO enable positive payload upto epsilon=0.3 (approximately)</a:t>
          </a:r>
        </a:p>
        <a:p>
          <a:r>
            <a:rPr lang="en-IN" sz="1100"/>
            <a:t>At epsilon=0.1,</a:t>
          </a:r>
          <a:r>
            <a:rPr lang="en-IN" sz="1100" baseline="0"/>
            <a:t> Nuclear SSTO gives around 22% payload whereas chemical only gives about 2%</a:t>
          </a:r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9525</xdr:rowOff>
    </xdr:from>
    <xdr:to>
      <xdr:col>8</xdr:col>
      <xdr:colOff>142874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E50BC5-1E86-B7DF-F1F0-D85F76809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145256</xdr:colOff>
      <xdr:row>16</xdr:row>
      <xdr:rowOff>9524</xdr:rowOff>
    </xdr:from>
    <xdr:to>
      <xdr:col>15</xdr:col>
      <xdr:colOff>26193</xdr:colOff>
      <xdr:row>31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975C96-62D5-22A9-3CBD-12662ECD8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4762</xdr:rowOff>
    </xdr:from>
    <xdr:to>
      <xdr:col>5</xdr:col>
      <xdr:colOff>361950</xdr:colOff>
      <xdr:row>27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FC65C0-A766-4F01-055C-E118C50E3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4763</xdr:rowOff>
    </xdr:from>
    <xdr:to>
      <xdr:col>7</xdr:col>
      <xdr:colOff>38100</xdr:colOff>
      <xdr:row>31</xdr:row>
      <xdr:rowOff>33338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231342-999D-FD69-2F14-3FC95C08E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72.937089236111" createdVersion="8" refreshedVersion="8" minRefreshableVersion="3" recordCount="143" xr:uid="{04A2634C-4E48-44AC-97A8-5B12AD318A1F}">
  <cacheSource type="worksheet">
    <worksheetSource name="ssto_results"/>
  </cacheSource>
  <cacheFields count="3">
    <cacheField name="Isp_s" numFmtId="0">
      <sharedItems containsSemiMixedTypes="0" containsString="0" containsNumber="1" containsInteger="1" minValue="300" maxValue="900" count="13">
        <n v="300"/>
        <n v="350"/>
        <n v="400"/>
        <n v="450"/>
        <n v="500"/>
        <n v="550"/>
        <n v="600"/>
        <n v="650"/>
        <n v="700"/>
        <n v="750"/>
        <n v="800"/>
        <n v="850"/>
        <n v="900"/>
      </sharedItems>
    </cacheField>
    <cacheField name="epsilon" numFmtId="0">
      <sharedItems containsSemiMixedTypes="0" containsString="0" containsNumber="1" minValue="0.05" maxValue="0.15" count="11">
        <n v="0.05"/>
        <n v="0.06"/>
        <n v="7.0000000000000007E-2"/>
        <n v="0.08"/>
        <n v="0.09"/>
        <n v="0.1"/>
        <n v="0.11"/>
        <n v="0.12"/>
        <n v="0.13"/>
        <n v="0.14000000000000001"/>
        <n v="0.15"/>
      </sharedItems>
    </cacheField>
    <cacheField name="payloadFraction" numFmtId="0">
      <sharedItems containsSemiMixedTypes="0" containsString="0" containsNumber="1" minValue="-0.12828000000000001" maxValue="0.3102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x v="0"/>
    <n v="-9.5139999999999999E-3"/>
  </r>
  <r>
    <x v="0"/>
    <x v="1"/>
    <n v="-2.0253E-2"/>
  </r>
  <r>
    <x v="0"/>
    <x v="2"/>
    <n v="-3.1223999999999998E-2"/>
  </r>
  <r>
    <x v="0"/>
    <x v="3"/>
    <n v="-4.2432999999999998E-2"/>
  </r>
  <r>
    <x v="0"/>
    <x v="4"/>
    <n v="-5.3887999999999998E-2"/>
  </r>
  <r>
    <x v="0"/>
    <x v="5"/>
    <n v="-6.5598000000000004E-2"/>
  </r>
  <r>
    <x v="0"/>
    <x v="6"/>
    <n v="-7.7571000000000001E-2"/>
  </r>
  <r>
    <x v="0"/>
    <x v="7"/>
    <n v="-8.9816000000000007E-2"/>
  </r>
  <r>
    <x v="0"/>
    <x v="8"/>
    <n v="-0.102343"/>
  </r>
  <r>
    <x v="0"/>
    <x v="9"/>
    <n v="-0.11516"/>
  </r>
  <r>
    <x v="0"/>
    <x v="10"/>
    <n v="-0.12828000000000001"/>
  </r>
  <r>
    <x v="1"/>
    <x v="0"/>
    <n v="1.5428000000000001E-2"/>
  </r>
  <r>
    <x v="1"/>
    <x v="1"/>
    <n v="4.9540000000000001E-3"/>
  </r>
  <r>
    <x v="1"/>
    <x v="2"/>
    <n v="-5.7460000000000002E-3"/>
  </r>
  <r>
    <x v="1"/>
    <x v="3"/>
    <n v="-1.6677999999999998E-2"/>
  </r>
  <r>
    <x v="1"/>
    <x v="4"/>
    <n v="-2.785E-2"/>
  </r>
  <r>
    <x v="1"/>
    <x v="5"/>
    <n v="-3.9271E-2"/>
  </r>
  <r>
    <x v="1"/>
    <x v="6"/>
    <n v="-5.0948E-2"/>
  </r>
  <r>
    <x v="1"/>
    <x v="7"/>
    <n v="-6.2890000000000001E-2"/>
  </r>
  <r>
    <x v="1"/>
    <x v="8"/>
    <n v="-7.5106999999999993E-2"/>
  </r>
  <r>
    <x v="1"/>
    <x v="9"/>
    <n v="-8.7609000000000006E-2"/>
  </r>
  <r>
    <x v="1"/>
    <x v="10"/>
    <n v="-0.10040399999999999"/>
  </r>
  <r>
    <x v="2"/>
    <x v="0"/>
    <n v="4.3212E-2"/>
  </r>
  <r>
    <x v="2"/>
    <x v="1"/>
    <n v="3.3033E-2"/>
  </r>
  <r>
    <x v="2"/>
    <x v="2"/>
    <n v="2.2636E-2"/>
  </r>
  <r>
    <x v="2"/>
    <x v="3"/>
    <n v="1.2012E-2"/>
  </r>
  <r>
    <x v="2"/>
    <x v="4"/>
    <n v="1.155E-3"/>
  </r>
  <r>
    <x v="2"/>
    <x v="5"/>
    <n v="-9.9430000000000004E-3"/>
  </r>
  <r>
    <x v="2"/>
    <x v="6"/>
    <n v="-2.1291000000000001E-2"/>
  </r>
  <r>
    <x v="2"/>
    <x v="7"/>
    <n v="-3.2896000000000002E-2"/>
  </r>
  <r>
    <x v="2"/>
    <x v="8"/>
    <n v="-4.4769000000000003E-2"/>
  </r>
  <r>
    <x v="2"/>
    <x v="9"/>
    <n v="-5.6917000000000002E-2"/>
  </r>
  <r>
    <x v="2"/>
    <x v="10"/>
    <n v="-6.9351999999999997E-2"/>
  </r>
  <r>
    <x v="3"/>
    <x v="0"/>
    <n v="7.2451000000000002E-2"/>
  </r>
  <r>
    <x v="3"/>
    <x v="1"/>
    <n v="6.2584000000000001E-2"/>
  </r>
  <r>
    <x v="3"/>
    <x v="2"/>
    <n v="5.2504000000000002E-2"/>
  </r>
  <r>
    <x v="3"/>
    <x v="3"/>
    <n v="4.2204999999999999E-2"/>
  </r>
  <r>
    <x v="3"/>
    <x v="4"/>
    <n v="3.168E-2"/>
  </r>
  <r>
    <x v="3"/>
    <x v="5"/>
    <n v="2.0920999999999999E-2"/>
  </r>
  <r>
    <x v="3"/>
    <x v="6"/>
    <n v="9.92E-3"/>
  </r>
  <r>
    <x v="3"/>
    <x v="7"/>
    <n v="-1.3309999999999999E-3"/>
  </r>
  <r>
    <x v="3"/>
    <x v="8"/>
    <n v="-1.2841E-2"/>
  </r>
  <r>
    <x v="3"/>
    <x v="9"/>
    <n v="-2.4618000000000001E-2"/>
  </r>
  <r>
    <x v="3"/>
    <x v="10"/>
    <n v="-3.6672000000000003E-2"/>
  </r>
  <r>
    <x v="4"/>
    <x v="0"/>
    <n v="0.102145"/>
  </r>
  <r>
    <x v="4"/>
    <x v="1"/>
    <n v="9.2592999999999995E-2"/>
  </r>
  <r>
    <x v="4"/>
    <x v="2"/>
    <n v="8.2836000000000007E-2"/>
  </r>
  <r>
    <x v="4"/>
    <x v="3"/>
    <n v="7.2867000000000001E-2"/>
  </r>
  <r>
    <x v="4"/>
    <x v="4"/>
    <n v="6.2678999999999999E-2"/>
  </r>
  <r>
    <x v="4"/>
    <x v="5"/>
    <n v="5.2263999999999998E-2"/>
  </r>
  <r>
    <x v="4"/>
    <x v="6"/>
    <n v="4.1614999999999999E-2"/>
  </r>
  <r>
    <x v="4"/>
    <x v="7"/>
    <n v="3.0724999999999999E-2"/>
  </r>
  <r>
    <x v="4"/>
    <x v="8"/>
    <n v="1.9584000000000001E-2"/>
  </r>
  <r>
    <x v="4"/>
    <x v="9"/>
    <n v="8.1829999999999993E-3"/>
  </r>
  <r>
    <x v="4"/>
    <x v="10"/>
    <n v="-3.4849999999999998E-3"/>
  </r>
  <r>
    <x v="5"/>
    <x v="0"/>
    <n v="0.13161200000000001"/>
  </r>
  <r>
    <x v="5"/>
    <x v="1"/>
    <n v="0.122374"/>
  </r>
  <r>
    <x v="5"/>
    <x v="2"/>
    <n v="0.112937"/>
  </r>
  <r>
    <x v="5"/>
    <x v="3"/>
    <n v="0.103295"/>
  </r>
  <r>
    <x v="5"/>
    <x v="4"/>
    <n v="9.3441999999999997E-2"/>
  </r>
  <r>
    <x v="5"/>
    <x v="5"/>
    <n v="8.3368999999999999E-2"/>
  </r>
  <r>
    <x v="5"/>
    <x v="6"/>
    <n v="7.3068999999999995E-2"/>
  </r>
  <r>
    <x v="5"/>
    <x v="7"/>
    <n v="6.2535999999999994E-2"/>
  </r>
  <r>
    <x v="5"/>
    <x v="8"/>
    <n v="5.1761000000000001E-2"/>
  </r>
  <r>
    <x v="5"/>
    <x v="9"/>
    <n v="4.0735E-2"/>
  </r>
  <r>
    <x v="5"/>
    <x v="10"/>
    <n v="2.9448999999999999E-2"/>
  </r>
  <r>
    <x v="6"/>
    <x v="0"/>
    <n v="0.160411"/>
  </r>
  <r>
    <x v="6"/>
    <x v="1"/>
    <n v="0.151479"/>
  </r>
  <r>
    <x v="6"/>
    <x v="2"/>
    <n v="0.14235600000000001"/>
  </r>
  <r>
    <x v="6"/>
    <x v="3"/>
    <n v="0.13303300000000001"/>
  </r>
  <r>
    <x v="6"/>
    <x v="4"/>
    <n v="0.123506"/>
  </r>
  <r>
    <x v="6"/>
    <x v="5"/>
    <n v="0.11376699999999999"/>
  </r>
  <r>
    <x v="6"/>
    <x v="6"/>
    <n v="0.10381"/>
  </r>
  <r>
    <x v="6"/>
    <x v="7"/>
    <n v="9.3626000000000001E-2"/>
  </r>
  <r>
    <x v="6"/>
    <x v="8"/>
    <n v="8.3208000000000004E-2"/>
  </r>
  <r>
    <x v="6"/>
    <x v="9"/>
    <n v="7.2547E-2"/>
  </r>
  <r>
    <x v="6"/>
    <x v="10"/>
    <n v="6.1636000000000003E-2"/>
  </r>
  <r>
    <x v="7"/>
    <x v="0"/>
    <n v="0.18826799999999999"/>
  </r>
  <r>
    <x v="7"/>
    <x v="1"/>
    <n v="0.17963299999999999"/>
  </r>
  <r>
    <x v="7"/>
    <x v="2"/>
    <n v="0.17081199999999999"/>
  </r>
  <r>
    <x v="7"/>
    <x v="3"/>
    <n v="0.161799"/>
  </r>
  <r>
    <x v="7"/>
    <x v="4"/>
    <n v="0.152588"/>
  </r>
  <r>
    <x v="7"/>
    <x v="5"/>
    <n v="0.14317199999999999"/>
  </r>
  <r>
    <x v="7"/>
    <x v="6"/>
    <n v="0.133545"/>
  </r>
  <r>
    <x v="7"/>
    <x v="7"/>
    <n v="0.123699"/>
  </r>
  <r>
    <x v="7"/>
    <x v="8"/>
    <n v="0.113626"/>
  </r>
  <r>
    <x v="7"/>
    <x v="9"/>
    <n v="0.10332"/>
  </r>
  <r>
    <x v="7"/>
    <x v="10"/>
    <n v="9.2771000000000006E-2"/>
  </r>
  <r>
    <x v="8"/>
    <x v="0"/>
    <n v="0.215028"/>
  </r>
  <r>
    <x v="8"/>
    <x v="1"/>
    <n v="0.206677"/>
  </r>
  <r>
    <x v="8"/>
    <x v="2"/>
    <n v="0.19814699999999999"/>
  </r>
  <r>
    <x v="8"/>
    <x v="3"/>
    <n v="0.18943099999999999"/>
  </r>
  <r>
    <x v="8"/>
    <x v="4"/>
    <n v="0.18052399999999999"/>
  </r>
  <r>
    <x v="8"/>
    <x v="5"/>
    <n v="0.17141799999999999"/>
  </r>
  <r>
    <x v="8"/>
    <x v="6"/>
    <n v="0.162108"/>
  </r>
  <r>
    <x v="8"/>
    <x v="7"/>
    <n v="0.152587"/>
  </r>
  <r>
    <x v="8"/>
    <x v="8"/>
    <n v="0.142846"/>
  </r>
  <r>
    <x v="8"/>
    <x v="9"/>
    <n v="0.13288"/>
  </r>
  <r>
    <x v="8"/>
    <x v="10"/>
    <n v="0.122678"/>
  </r>
  <r>
    <x v="9"/>
    <x v="0"/>
    <n v="0.24061199999999999"/>
  </r>
  <r>
    <x v="9"/>
    <x v="1"/>
    <n v="0.23253399999999999"/>
  </r>
  <r>
    <x v="9"/>
    <x v="2"/>
    <n v="0.22428100000000001"/>
  </r>
  <r>
    <x v="9"/>
    <x v="3"/>
    <n v="0.21584999999999999"/>
  </r>
  <r>
    <x v="9"/>
    <x v="4"/>
    <n v="0.207233"/>
  </r>
  <r>
    <x v="9"/>
    <x v="5"/>
    <n v="0.19842399999999999"/>
  </r>
  <r>
    <x v="9"/>
    <x v="6"/>
    <n v="0.189418"/>
  </r>
  <r>
    <x v="9"/>
    <x v="7"/>
    <n v="0.18020600000000001"/>
  </r>
  <r>
    <x v="9"/>
    <x v="8"/>
    <n v="0.17078299999999999"/>
  </r>
  <r>
    <x v="9"/>
    <x v="9"/>
    <n v="0.16114100000000001"/>
  </r>
  <r>
    <x v="9"/>
    <x v="10"/>
    <n v="0.15127199999999999"/>
  </r>
  <r>
    <x v="10"/>
    <x v="0"/>
    <n v="0.26499699999999998"/>
  </r>
  <r>
    <x v="10"/>
    <x v="1"/>
    <n v="0.25717800000000002"/>
  </r>
  <r>
    <x v="10"/>
    <x v="2"/>
    <n v="0.24918999999999999"/>
  </r>
  <r>
    <x v="10"/>
    <x v="3"/>
    <n v="0.24102899999999999"/>
  </r>
  <r>
    <x v="10"/>
    <x v="4"/>
    <n v="0.23268900000000001"/>
  </r>
  <r>
    <x v="10"/>
    <x v="5"/>
    <n v="0.224163"/>
  </r>
  <r>
    <x v="10"/>
    <x v="6"/>
    <n v="0.215446"/>
  </r>
  <r>
    <x v="10"/>
    <x v="7"/>
    <n v="0.20653099999999999"/>
  </r>
  <r>
    <x v="10"/>
    <x v="8"/>
    <n v="0.19741"/>
  </r>
  <r>
    <x v="10"/>
    <x v="9"/>
    <n v="0.188078"/>
  </r>
  <r>
    <x v="10"/>
    <x v="10"/>
    <n v="0.17852599999999999"/>
  </r>
  <r>
    <x v="11"/>
    <x v="0"/>
    <n v="0.28819099999999997"/>
  </r>
  <r>
    <x v="11"/>
    <x v="1"/>
    <n v="0.28061900000000001"/>
  </r>
  <r>
    <x v="11"/>
    <x v="2"/>
    <n v="0.27288299999999999"/>
  </r>
  <r>
    <x v="11"/>
    <x v="3"/>
    <n v="0.26497999999999999"/>
  </r>
  <r>
    <x v="11"/>
    <x v="4"/>
    <n v="0.25690299999999999"/>
  </r>
  <r>
    <x v="11"/>
    <x v="5"/>
    <n v="0.24864600000000001"/>
  </r>
  <r>
    <x v="11"/>
    <x v="6"/>
    <n v="0.240204"/>
  </r>
  <r>
    <x v="11"/>
    <x v="7"/>
    <n v="0.23157"/>
  </r>
  <r>
    <x v="11"/>
    <x v="8"/>
    <n v="0.22273699999999999"/>
  </r>
  <r>
    <x v="11"/>
    <x v="9"/>
    <n v="0.213699"/>
  </r>
  <r>
    <x v="11"/>
    <x v="10"/>
    <n v="0.20444899999999999"/>
  </r>
  <r>
    <x v="12"/>
    <x v="0"/>
    <n v="0.310226"/>
  </r>
  <r>
    <x v="12"/>
    <x v="1"/>
    <n v="0.30288799999999999"/>
  </r>
  <r>
    <x v="12"/>
    <x v="2"/>
    <n v="0.29539300000000002"/>
  </r>
  <r>
    <x v="12"/>
    <x v="3"/>
    <n v="0.28773399999999999"/>
  </r>
  <r>
    <x v="12"/>
    <x v="4"/>
    <n v="0.27990700000000002"/>
  </r>
  <r>
    <x v="12"/>
    <x v="5"/>
    <n v="0.27190599999999998"/>
  </r>
  <r>
    <x v="12"/>
    <x v="6"/>
    <n v="0.26372499999999999"/>
  </r>
  <r>
    <x v="12"/>
    <x v="7"/>
    <n v="0.25535799999999997"/>
  </r>
  <r>
    <x v="12"/>
    <x v="8"/>
    <n v="0.24679899999999999"/>
  </r>
  <r>
    <x v="12"/>
    <x v="9"/>
    <n v="0.238041"/>
  </r>
  <r>
    <x v="12"/>
    <x v="10"/>
    <n v="0.2290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8BA89-3EFC-4C1A-BB2D-31E79C03AC9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M16" firstHeaderRow="1" firstDataRow="2" firstDataCol="1"/>
  <pivotFields count="3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payloadFraction" fld="2" baseField="0" baseItem="0"/>
  </dataFields>
  <chartFormats count="3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6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6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67B1A-7E76-451C-8CCF-701E50227BF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M16" firstHeaderRow="1" firstDataRow="2" firstDataCol="1"/>
  <pivotFields count="3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payloadFraction" fld="2" baseField="0" baseItem="0"/>
  </dataFields>
  <chartFormats count="57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6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6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6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6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6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6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6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6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6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6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0"/>
          </reference>
        </references>
      </pivotArea>
    </chartFormat>
    <chartFormat chart="6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</references>
      </pivotArea>
    </chartFormat>
    <chartFormat chart="6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</references>
      </pivotArea>
    </chartFormat>
    <chartFormat chart="6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0"/>
          </reference>
        </references>
      </pivotArea>
    </chartFormat>
    <chartFormat chart="6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6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2D3EF1-4C6A-4AD7-932F-B993747F34BE}" autoFormatId="16" applyNumberFormats="0" applyBorderFormats="0" applyFontFormats="0" applyPatternFormats="0" applyAlignmentFormats="0" applyWidthHeightFormats="0">
  <queryTableRefresh nextId="4">
    <queryTableFields count="3">
      <queryTableField id="1" name="Isp_s" tableColumnId="1"/>
      <queryTableField id="2" name="epsilon" tableColumnId="2"/>
      <queryTableField id="3" name="payloadFrac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8A235B-C6DC-4532-BB7E-B1B57DAA5AE6}" name="ssto_results" displayName="ssto_results" ref="A1:C144" tableType="queryTable" totalsRowShown="0">
  <autoFilter ref="A1:C144" xr:uid="{438A235B-C6DC-4532-BB7E-B1B57DAA5AE6}"/>
  <tableColumns count="3">
    <tableColumn id="1" xr3:uid="{E180BAA3-94D6-4A70-A7D0-52AB148A58AC}" uniqueName="1" name="Isp_s" queryTableFieldId="1"/>
    <tableColumn id="2" xr3:uid="{F3B8D474-91BA-439A-996A-1215CE8BFDEA}" uniqueName="2" name="epsilon" queryTableFieldId="2"/>
    <tableColumn id="3" xr3:uid="{4FC103ED-910F-46B4-9197-0EF76241B7F8}" uniqueName="3" name="payloadFraction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24DE-DD02-4D3C-8A71-0EA047B03225}">
  <dimension ref="A1"/>
  <sheetViews>
    <sheetView tabSelected="1" topLeftCell="A11" workbookViewId="0">
      <selection activeCell="Q19" sqref="Q19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160E-E58A-4021-869B-A0EE4CEBF022}">
  <dimension ref="A1:M16"/>
  <sheetViews>
    <sheetView topLeftCell="A10" workbookViewId="0">
      <selection activeCell="A3" sqref="A1:M16"/>
    </sheetView>
  </sheetViews>
  <sheetFormatPr defaultRowHeight="14.25" x14ac:dyDescent="0.45"/>
  <cols>
    <col min="1" max="1" width="20.06640625" bestFit="1" customWidth="1"/>
    <col min="2" max="2" width="14.73046875" bestFit="1" customWidth="1"/>
    <col min="3" max="12" width="9.33203125" bestFit="1" customWidth="1"/>
    <col min="13" max="13" width="10.19921875" bestFit="1" customWidth="1"/>
  </cols>
  <sheetData>
    <row r="1" spans="1:13" x14ac:dyDescent="0.45">
      <c r="A1" s="2" t="s">
        <v>9</v>
      </c>
      <c r="B1" s="2" t="s">
        <v>10</v>
      </c>
    </row>
    <row r="2" spans="1:13" x14ac:dyDescent="0.45">
      <c r="A2" s="2" t="s">
        <v>7</v>
      </c>
      <c r="B2">
        <v>0.05</v>
      </c>
      <c r="C2">
        <v>0.06</v>
      </c>
      <c r="D2">
        <v>7.0000000000000007E-2</v>
      </c>
      <c r="E2">
        <v>0.08</v>
      </c>
      <c r="F2">
        <v>0.09</v>
      </c>
      <c r="G2">
        <v>0.1</v>
      </c>
      <c r="H2">
        <v>0.11</v>
      </c>
      <c r="I2">
        <v>0.12</v>
      </c>
      <c r="J2">
        <v>0.13</v>
      </c>
      <c r="K2">
        <v>0.14000000000000001</v>
      </c>
      <c r="L2">
        <v>0.15</v>
      </c>
      <c r="M2" t="s">
        <v>8</v>
      </c>
    </row>
    <row r="3" spans="1:13" x14ac:dyDescent="0.45">
      <c r="A3" s="3">
        <v>300</v>
      </c>
      <c r="B3" s="1">
        <v>-9.5139999999999999E-3</v>
      </c>
      <c r="C3" s="1">
        <v>-2.0253E-2</v>
      </c>
      <c r="D3" s="1">
        <v>-3.1223999999999998E-2</v>
      </c>
      <c r="E3" s="1">
        <v>-4.2432999999999998E-2</v>
      </c>
      <c r="F3" s="1">
        <v>-5.3887999999999998E-2</v>
      </c>
      <c r="G3" s="1">
        <v>-6.5598000000000004E-2</v>
      </c>
      <c r="H3" s="1">
        <v>-7.7571000000000001E-2</v>
      </c>
      <c r="I3" s="1">
        <v>-8.9816000000000007E-2</v>
      </c>
      <c r="J3" s="1">
        <v>-0.102343</v>
      </c>
      <c r="K3" s="1">
        <v>-0.11516</v>
      </c>
      <c r="L3" s="1">
        <v>-0.12828000000000001</v>
      </c>
      <c r="M3" s="1">
        <v>-0.73608000000000007</v>
      </c>
    </row>
    <row r="4" spans="1:13" x14ac:dyDescent="0.45">
      <c r="A4" s="3">
        <v>350</v>
      </c>
      <c r="B4" s="1">
        <v>1.5428000000000001E-2</v>
      </c>
      <c r="C4" s="1">
        <v>4.9540000000000001E-3</v>
      </c>
      <c r="D4" s="1">
        <v>-5.7460000000000002E-3</v>
      </c>
      <c r="E4" s="1">
        <v>-1.6677999999999998E-2</v>
      </c>
      <c r="F4" s="1">
        <v>-2.785E-2</v>
      </c>
      <c r="G4" s="1">
        <v>-3.9271E-2</v>
      </c>
      <c r="H4" s="1">
        <v>-5.0948E-2</v>
      </c>
      <c r="I4" s="1">
        <v>-6.2890000000000001E-2</v>
      </c>
      <c r="J4" s="1">
        <v>-7.5106999999999993E-2</v>
      </c>
      <c r="K4" s="1">
        <v>-8.7609000000000006E-2</v>
      </c>
      <c r="L4" s="1">
        <v>-0.10040399999999999</v>
      </c>
      <c r="M4" s="1">
        <v>-0.44612099999999999</v>
      </c>
    </row>
    <row r="5" spans="1:13" x14ac:dyDescent="0.45">
      <c r="A5" s="3">
        <v>400</v>
      </c>
      <c r="B5" s="1">
        <v>4.3212E-2</v>
      </c>
      <c r="C5" s="1">
        <v>3.3033E-2</v>
      </c>
      <c r="D5" s="1">
        <v>2.2636E-2</v>
      </c>
      <c r="E5" s="1">
        <v>1.2012E-2</v>
      </c>
      <c r="F5" s="1">
        <v>1.155E-3</v>
      </c>
      <c r="G5" s="1">
        <v>-9.9430000000000004E-3</v>
      </c>
      <c r="H5" s="1">
        <v>-2.1291000000000001E-2</v>
      </c>
      <c r="I5" s="1">
        <v>-3.2896000000000002E-2</v>
      </c>
      <c r="J5" s="1">
        <v>-4.4769000000000003E-2</v>
      </c>
      <c r="K5" s="1">
        <v>-5.6917000000000002E-2</v>
      </c>
      <c r="L5" s="1">
        <v>-6.9351999999999997E-2</v>
      </c>
      <c r="M5" s="1">
        <v>-0.12312000000000001</v>
      </c>
    </row>
    <row r="6" spans="1:13" x14ac:dyDescent="0.45">
      <c r="A6" s="3">
        <v>450</v>
      </c>
      <c r="B6" s="1">
        <v>7.2451000000000002E-2</v>
      </c>
      <c r="C6" s="1">
        <v>6.2584000000000001E-2</v>
      </c>
      <c r="D6" s="1">
        <v>5.2504000000000002E-2</v>
      </c>
      <c r="E6" s="1">
        <v>4.2204999999999999E-2</v>
      </c>
      <c r="F6" s="1">
        <v>3.168E-2</v>
      </c>
      <c r="G6" s="1">
        <v>2.0920999999999999E-2</v>
      </c>
      <c r="H6" s="1">
        <v>9.92E-3</v>
      </c>
      <c r="I6" s="1">
        <v>-1.3309999999999999E-3</v>
      </c>
      <c r="J6" s="1">
        <v>-1.2841E-2</v>
      </c>
      <c r="K6" s="1">
        <v>-2.4618000000000001E-2</v>
      </c>
      <c r="L6" s="1">
        <v>-3.6672000000000003E-2</v>
      </c>
      <c r="M6" s="1">
        <v>0.216803</v>
      </c>
    </row>
    <row r="7" spans="1:13" x14ac:dyDescent="0.45">
      <c r="A7" s="3">
        <v>500</v>
      </c>
      <c r="B7" s="1">
        <v>0.102145</v>
      </c>
      <c r="C7" s="1">
        <v>9.2592999999999995E-2</v>
      </c>
      <c r="D7" s="1">
        <v>8.2836000000000007E-2</v>
      </c>
      <c r="E7" s="1">
        <v>7.2867000000000001E-2</v>
      </c>
      <c r="F7" s="1">
        <v>6.2678999999999999E-2</v>
      </c>
      <c r="G7" s="1">
        <v>5.2263999999999998E-2</v>
      </c>
      <c r="H7" s="1">
        <v>4.1614999999999999E-2</v>
      </c>
      <c r="I7" s="1">
        <v>3.0724999999999999E-2</v>
      </c>
      <c r="J7" s="1">
        <v>1.9584000000000001E-2</v>
      </c>
      <c r="K7" s="1">
        <v>8.1829999999999993E-3</v>
      </c>
      <c r="L7" s="1">
        <v>-3.4849999999999998E-3</v>
      </c>
      <c r="M7" s="1">
        <v>0.56200600000000012</v>
      </c>
    </row>
    <row r="8" spans="1:13" x14ac:dyDescent="0.45">
      <c r="A8" s="3">
        <v>550</v>
      </c>
      <c r="B8" s="1">
        <v>0.13161200000000001</v>
      </c>
      <c r="C8" s="1">
        <v>0.122374</v>
      </c>
      <c r="D8" s="1">
        <v>0.112937</v>
      </c>
      <c r="E8" s="1">
        <v>0.103295</v>
      </c>
      <c r="F8" s="1">
        <v>9.3441999999999997E-2</v>
      </c>
      <c r="G8" s="1">
        <v>8.3368999999999999E-2</v>
      </c>
      <c r="H8" s="1">
        <v>7.3068999999999995E-2</v>
      </c>
      <c r="I8" s="1">
        <v>6.2535999999999994E-2</v>
      </c>
      <c r="J8" s="1">
        <v>5.1761000000000001E-2</v>
      </c>
      <c r="K8" s="1">
        <v>4.0735E-2</v>
      </c>
      <c r="L8" s="1">
        <v>2.9448999999999999E-2</v>
      </c>
      <c r="M8" s="1">
        <v>0.90457900000000013</v>
      </c>
    </row>
    <row r="9" spans="1:13" x14ac:dyDescent="0.45">
      <c r="A9" s="3">
        <v>600</v>
      </c>
      <c r="B9" s="1">
        <v>0.160411</v>
      </c>
      <c r="C9" s="1">
        <v>0.151479</v>
      </c>
      <c r="D9" s="1">
        <v>0.14235600000000001</v>
      </c>
      <c r="E9" s="1">
        <v>0.13303300000000001</v>
      </c>
      <c r="F9" s="1">
        <v>0.123506</v>
      </c>
      <c r="G9" s="1">
        <v>0.11376699999999999</v>
      </c>
      <c r="H9" s="1">
        <v>0.10381</v>
      </c>
      <c r="I9" s="1">
        <v>9.3626000000000001E-2</v>
      </c>
      <c r="J9" s="1">
        <v>8.3208000000000004E-2</v>
      </c>
      <c r="K9" s="1">
        <v>7.2547E-2</v>
      </c>
      <c r="L9" s="1">
        <v>6.1636000000000003E-2</v>
      </c>
      <c r="M9" s="1">
        <v>1.239379</v>
      </c>
    </row>
    <row r="10" spans="1:13" x14ac:dyDescent="0.45">
      <c r="A10" s="3">
        <v>650</v>
      </c>
      <c r="B10" s="1">
        <v>0.18826799999999999</v>
      </c>
      <c r="C10" s="1">
        <v>0.17963299999999999</v>
      </c>
      <c r="D10" s="1">
        <v>0.17081199999999999</v>
      </c>
      <c r="E10" s="1">
        <v>0.161799</v>
      </c>
      <c r="F10" s="1">
        <v>0.152588</v>
      </c>
      <c r="G10" s="1">
        <v>0.14317199999999999</v>
      </c>
      <c r="H10" s="1">
        <v>0.133545</v>
      </c>
      <c r="I10" s="1">
        <v>0.123699</v>
      </c>
      <c r="J10" s="1">
        <v>0.113626</v>
      </c>
      <c r="K10" s="1">
        <v>0.10332</v>
      </c>
      <c r="L10" s="1">
        <v>9.2771000000000006E-2</v>
      </c>
      <c r="M10" s="1">
        <v>1.5632329999999999</v>
      </c>
    </row>
    <row r="11" spans="1:13" x14ac:dyDescent="0.45">
      <c r="A11" s="3">
        <v>700</v>
      </c>
      <c r="B11" s="1">
        <v>0.215028</v>
      </c>
      <c r="C11" s="1">
        <v>0.206677</v>
      </c>
      <c r="D11" s="1">
        <v>0.19814699999999999</v>
      </c>
      <c r="E11" s="1">
        <v>0.18943099999999999</v>
      </c>
      <c r="F11" s="1">
        <v>0.18052399999999999</v>
      </c>
      <c r="G11" s="1">
        <v>0.17141799999999999</v>
      </c>
      <c r="H11" s="1">
        <v>0.162108</v>
      </c>
      <c r="I11" s="1">
        <v>0.152587</v>
      </c>
      <c r="J11" s="1">
        <v>0.142846</v>
      </c>
      <c r="K11" s="1">
        <v>0.13288</v>
      </c>
      <c r="L11" s="1">
        <v>0.122678</v>
      </c>
      <c r="M11" s="1">
        <v>1.8743240000000001</v>
      </c>
    </row>
    <row r="12" spans="1:13" x14ac:dyDescent="0.45">
      <c r="A12" s="3">
        <v>750</v>
      </c>
      <c r="B12" s="1">
        <v>0.24061199999999999</v>
      </c>
      <c r="C12" s="1">
        <v>0.23253399999999999</v>
      </c>
      <c r="D12" s="1">
        <v>0.22428100000000001</v>
      </c>
      <c r="E12" s="1">
        <v>0.21584999999999999</v>
      </c>
      <c r="F12" s="1">
        <v>0.207233</v>
      </c>
      <c r="G12" s="1">
        <v>0.19842399999999999</v>
      </c>
      <c r="H12" s="1">
        <v>0.189418</v>
      </c>
      <c r="I12" s="1">
        <v>0.18020600000000001</v>
      </c>
      <c r="J12" s="1">
        <v>0.17078299999999999</v>
      </c>
      <c r="K12" s="1">
        <v>0.16114100000000001</v>
      </c>
      <c r="L12" s="1">
        <v>0.15127199999999999</v>
      </c>
      <c r="M12" s="1">
        <v>2.171754</v>
      </c>
    </row>
    <row r="13" spans="1:13" x14ac:dyDescent="0.45">
      <c r="A13" s="3">
        <v>800</v>
      </c>
      <c r="B13" s="1">
        <v>0.26499699999999998</v>
      </c>
      <c r="C13" s="1">
        <v>0.25717800000000002</v>
      </c>
      <c r="D13" s="1">
        <v>0.24918999999999999</v>
      </c>
      <c r="E13" s="1">
        <v>0.24102899999999999</v>
      </c>
      <c r="F13" s="1">
        <v>0.23268900000000001</v>
      </c>
      <c r="G13" s="1">
        <v>0.224163</v>
      </c>
      <c r="H13" s="1">
        <v>0.215446</v>
      </c>
      <c r="I13" s="1">
        <v>0.20653099999999999</v>
      </c>
      <c r="J13" s="1">
        <v>0.19741</v>
      </c>
      <c r="K13" s="1">
        <v>0.188078</v>
      </c>
      <c r="L13" s="1">
        <v>0.17852599999999999</v>
      </c>
      <c r="M13" s="1">
        <v>2.4552370000000003</v>
      </c>
    </row>
    <row r="14" spans="1:13" x14ac:dyDescent="0.45">
      <c r="A14" s="3">
        <v>850</v>
      </c>
      <c r="B14" s="1">
        <v>0.28819099999999997</v>
      </c>
      <c r="C14" s="1">
        <v>0.28061900000000001</v>
      </c>
      <c r="D14" s="1">
        <v>0.27288299999999999</v>
      </c>
      <c r="E14" s="1">
        <v>0.26497999999999999</v>
      </c>
      <c r="F14" s="1">
        <v>0.25690299999999999</v>
      </c>
      <c r="G14" s="1">
        <v>0.24864600000000001</v>
      </c>
      <c r="H14" s="1">
        <v>0.240204</v>
      </c>
      <c r="I14" s="1">
        <v>0.23157</v>
      </c>
      <c r="J14" s="1">
        <v>0.22273699999999999</v>
      </c>
      <c r="K14" s="1">
        <v>0.213699</v>
      </c>
      <c r="L14" s="1">
        <v>0.20444899999999999</v>
      </c>
      <c r="M14" s="1">
        <v>2.7248809999999999</v>
      </c>
    </row>
    <row r="15" spans="1:13" x14ac:dyDescent="0.45">
      <c r="A15" s="3">
        <v>900</v>
      </c>
      <c r="B15" s="1">
        <v>0.310226</v>
      </c>
      <c r="C15" s="1">
        <v>0.30288799999999999</v>
      </c>
      <c r="D15" s="1">
        <v>0.29539300000000002</v>
      </c>
      <c r="E15" s="1">
        <v>0.28773399999999999</v>
      </c>
      <c r="F15" s="1">
        <v>0.27990700000000002</v>
      </c>
      <c r="G15" s="1">
        <v>0.27190599999999998</v>
      </c>
      <c r="H15" s="1">
        <v>0.26372499999999999</v>
      </c>
      <c r="I15" s="1">
        <v>0.25535799999999997</v>
      </c>
      <c r="J15" s="1">
        <v>0.24679899999999999</v>
      </c>
      <c r="K15" s="1">
        <v>0.238041</v>
      </c>
      <c r="L15" s="1">
        <v>0.229077</v>
      </c>
      <c r="M15" s="1">
        <v>2.9810540000000003</v>
      </c>
    </row>
    <row r="16" spans="1:13" x14ac:dyDescent="0.45">
      <c r="A16" s="3" t="s">
        <v>8</v>
      </c>
      <c r="B16" s="1">
        <v>2.0230670000000002</v>
      </c>
      <c r="C16" s="1">
        <v>1.9062929999999998</v>
      </c>
      <c r="D16" s="1">
        <v>1.787005</v>
      </c>
      <c r="E16" s="1">
        <v>1.665124</v>
      </c>
      <c r="F16" s="1">
        <v>1.5405679999999999</v>
      </c>
      <c r="G16" s="1">
        <v>1.413238</v>
      </c>
      <c r="H16" s="1">
        <v>1.28305</v>
      </c>
      <c r="I16" s="1">
        <v>1.149905</v>
      </c>
      <c r="J16" s="1">
        <v>1.0136940000000001</v>
      </c>
      <c r="K16" s="1">
        <v>0.87431999999999999</v>
      </c>
      <c r="L16" s="1">
        <v>0.73166500000000001</v>
      </c>
      <c r="M16" s="1">
        <v>15.387929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880F0-F459-4EEE-88C2-DC88A260951D}">
  <dimension ref="A1:D12"/>
  <sheetViews>
    <sheetView workbookViewId="0">
      <selection activeCell="H13" sqref="H13"/>
    </sheetView>
  </sheetViews>
  <sheetFormatPr defaultRowHeight="14.25" x14ac:dyDescent="0.45"/>
  <cols>
    <col min="2" max="2" width="17" customWidth="1"/>
    <col min="3" max="3" width="14.73046875" customWidth="1"/>
  </cols>
  <sheetData>
    <row r="1" spans="1:4" x14ac:dyDescent="0.45">
      <c r="A1" t="s">
        <v>12</v>
      </c>
      <c r="B1" t="s">
        <v>13</v>
      </c>
      <c r="C1" t="s">
        <v>14</v>
      </c>
      <c r="D1" t="s">
        <v>15</v>
      </c>
    </row>
    <row r="2" spans="1:4" x14ac:dyDescent="0.45">
      <c r="A2">
        <v>0.05</v>
      </c>
      <c r="B2">
        <f>(EXP(-9400/(450*9.80665))-A2)/(1-A2)</f>
        <v>7.2451069483388211E-2</v>
      </c>
      <c r="C2">
        <f>(EXP(-9400/(800*9.80665))-A2)/(1-A2)</f>
        <v>0.26499678201309179</v>
      </c>
      <c r="D2">
        <f>C2-B2</f>
        <v>0.19254571252970359</v>
      </c>
    </row>
    <row r="3" spans="1:4" x14ac:dyDescent="0.45">
      <c r="A3">
        <v>0.06</v>
      </c>
      <c r="B3">
        <f t="shared" ref="B3:B12" si="0">(EXP(-9400/(450*9.80665))-A3)/(1-A3)</f>
        <v>6.2583527669381703E-2</v>
      </c>
      <c r="C3">
        <f t="shared" ref="C3:C12" si="1">(EXP(-9400/(800*9.80665))-A3)/(1-A3)</f>
        <v>0.25717759884301833</v>
      </c>
      <c r="D3">
        <f t="shared" ref="D3:D12" si="2">C3-B3</f>
        <v>0.19459407117363664</v>
      </c>
    </row>
    <row r="4" spans="1:4" x14ac:dyDescent="0.45">
      <c r="A4">
        <v>7.0000000000000007E-2</v>
      </c>
      <c r="B4">
        <f t="shared" si="0"/>
        <v>5.2503780655073974E-2</v>
      </c>
      <c r="C4">
        <f t="shared" si="1"/>
        <v>0.24919026119616905</v>
      </c>
      <c r="D4">
        <f t="shared" si="2"/>
        <v>0.19668648054109508</v>
      </c>
    </row>
    <row r="5" spans="1:4" x14ac:dyDescent="0.45">
      <c r="A5">
        <v>0.08</v>
      </c>
      <c r="B5">
        <f t="shared" si="0"/>
        <v>4.220490870567261E-2</v>
      </c>
      <c r="C5">
        <f t="shared" si="1"/>
        <v>0.24102928577438823</v>
      </c>
      <c r="D5">
        <f t="shared" si="2"/>
        <v>0.19882437706871561</v>
      </c>
    </row>
    <row r="6" spans="1:4" x14ac:dyDescent="0.45">
      <c r="A6">
        <v>0.09</v>
      </c>
      <c r="B6">
        <f t="shared" si="0"/>
        <v>3.1679687922218466E-2</v>
      </c>
      <c r="C6">
        <f t="shared" si="1"/>
        <v>0.23268894825542549</v>
      </c>
      <c r="D6">
        <f t="shared" si="2"/>
        <v>0.20100926033320704</v>
      </c>
    </row>
    <row r="7" spans="1:4" x14ac:dyDescent="0.45">
      <c r="A7">
        <v>0.1</v>
      </c>
      <c r="B7">
        <f t="shared" si="0"/>
        <v>2.0920573343576439E-2</v>
      </c>
      <c r="C7">
        <f t="shared" si="1"/>
        <v>0.22416326990270799</v>
      </c>
      <c r="D7">
        <f t="shared" si="2"/>
        <v>0.20324269655913155</v>
      </c>
    </row>
    <row r="8" spans="1:4" x14ac:dyDescent="0.45">
      <c r="A8">
        <v>0.11</v>
      </c>
      <c r="B8">
        <f t="shared" si="0"/>
        <v>9.9196809092346079E-3</v>
      </c>
      <c r="C8">
        <f t="shared" si="1"/>
        <v>0.21544600327240135</v>
      </c>
      <c r="D8">
        <f t="shared" si="2"/>
        <v>0.20552632236316673</v>
      </c>
    </row>
    <row r="9" spans="1:4" x14ac:dyDescent="0.45">
      <c r="A9">
        <v>0.12</v>
      </c>
      <c r="B9">
        <f t="shared" si="0"/>
        <v>-1.3312318077059024E-3</v>
      </c>
      <c r="C9">
        <f t="shared" si="1"/>
        <v>0.20653061694595137</v>
      </c>
      <c r="D9">
        <f t="shared" si="2"/>
        <v>0.20786184875365726</v>
      </c>
    </row>
    <row r="10" spans="1:4" x14ac:dyDescent="0.45">
      <c r="A10">
        <v>0.13</v>
      </c>
      <c r="B10">
        <f t="shared" si="0"/>
        <v>-1.2840786196300233E-2</v>
      </c>
      <c r="C10">
        <f t="shared" si="1"/>
        <v>0.19741027920969792</v>
      </c>
      <c r="D10">
        <f t="shared" si="2"/>
        <v>0.21025106540599814</v>
      </c>
    </row>
    <row r="11" spans="1:4" x14ac:dyDescent="0.45">
      <c r="A11">
        <v>0.14000000000000001</v>
      </c>
      <c r="B11">
        <f t="shared" si="0"/>
        <v>-2.461800464044327E-2</v>
      </c>
      <c r="C11">
        <f t="shared" si="1"/>
        <v>0.18807784059585719</v>
      </c>
      <c r="D11">
        <f t="shared" si="2"/>
        <v>0.21269584523630047</v>
      </c>
    </row>
    <row r="12" spans="1:4" x14ac:dyDescent="0.45">
      <c r="A12">
        <v>0.15</v>
      </c>
      <c r="B12">
        <f t="shared" si="0"/>
        <v>-3.6672334106801402E-2</v>
      </c>
      <c r="C12">
        <f t="shared" si="1"/>
        <v>0.17852581519110261</v>
      </c>
      <c r="D12">
        <f t="shared" si="2"/>
        <v>0.21519814929790401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DA42-4505-4DC0-ADB8-8AFC200251C2}">
  <dimension ref="A1:M16"/>
  <sheetViews>
    <sheetView workbookViewId="0">
      <selection activeCell="K23" sqref="K23"/>
    </sheetView>
  </sheetViews>
  <sheetFormatPr defaultRowHeight="14.25" x14ac:dyDescent="0.45"/>
  <sheetData>
    <row r="1" spans="1:13" x14ac:dyDescent="0.45">
      <c r="A1" s="2" t="s">
        <v>9</v>
      </c>
      <c r="B1" s="2" t="s">
        <v>10</v>
      </c>
    </row>
    <row r="2" spans="1:13" x14ac:dyDescent="0.45">
      <c r="A2" s="2" t="s">
        <v>7</v>
      </c>
      <c r="B2">
        <v>0.05</v>
      </c>
      <c r="C2">
        <v>0.06</v>
      </c>
      <c r="D2">
        <v>7.0000000000000007E-2</v>
      </c>
      <c r="E2">
        <v>0.08</v>
      </c>
      <c r="F2">
        <v>0.09</v>
      </c>
      <c r="G2">
        <v>0.1</v>
      </c>
      <c r="H2">
        <v>0.11</v>
      </c>
      <c r="I2">
        <v>0.12</v>
      </c>
      <c r="J2">
        <v>0.13</v>
      </c>
      <c r="K2">
        <v>0.14000000000000001</v>
      </c>
      <c r="L2">
        <v>0.15</v>
      </c>
      <c r="M2" t="s">
        <v>8</v>
      </c>
    </row>
    <row r="3" spans="1:13" x14ac:dyDescent="0.45">
      <c r="A3" s="3">
        <v>300</v>
      </c>
      <c r="B3" s="1">
        <v>-9.5139999999999999E-3</v>
      </c>
      <c r="C3" s="1">
        <v>-2.0253E-2</v>
      </c>
      <c r="D3" s="1">
        <v>-3.1223999999999998E-2</v>
      </c>
      <c r="E3" s="1">
        <v>-4.2432999999999998E-2</v>
      </c>
      <c r="F3" s="1">
        <v>-5.3887999999999998E-2</v>
      </c>
      <c r="G3" s="1">
        <v>-6.5598000000000004E-2</v>
      </c>
      <c r="H3" s="1">
        <v>-7.7571000000000001E-2</v>
      </c>
      <c r="I3" s="1">
        <v>-8.9816000000000007E-2</v>
      </c>
      <c r="J3" s="1">
        <v>-0.102343</v>
      </c>
      <c r="K3" s="1">
        <v>-0.11516</v>
      </c>
      <c r="L3" s="1">
        <v>-0.12828000000000001</v>
      </c>
      <c r="M3" s="1">
        <v>-0.73608000000000007</v>
      </c>
    </row>
    <row r="4" spans="1:13" x14ac:dyDescent="0.45">
      <c r="A4" s="3">
        <v>350</v>
      </c>
      <c r="B4" s="1">
        <v>1.5428000000000001E-2</v>
      </c>
      <c r="C4" s="1">
        <v>4.9540000000000001E-3</v>
      </c>
      <c r="D4" s="1">
        <v>-5.7460000000000002E-3</v>
      </c>
      <c r="E4" s="1">
        <v>-1.6677999999999998E-2</v>
      </c>
      <c r="F4" s="1">
        <v>-2.785E-2</v>
      </c>
      <c r="G4" s="1">
        <v>-3.9271E-2</v>
      </c>
      <c r="H4" s="1">
        <v>-5.0948E-2</v>
      </c>
      <c r="I4" s="1">
        <v>-6.2890000000000001E-2</v>
      </c>
      <c r="J4" s="1">
        <v>-7.5106999999999993E-2</v>
      </c>
      <c r="K4" s="1">
        <v>-8.7609000000000006E-2</v>
      </c>
      <c r="L4" s="1">
        <v>-0.10040399999999999</v>
      </c>
      <c r="M4" s="1">
        <v>-0.44612099999999999</v>
      </c>
    </row>
    <row r="5" spans="1:13" x14ac:dyDescent="0.45">
      <c r="A5" s="3">
        <v>400</v>
      </c>
      <c r="B5" s="1">
        <v>4.3212E-2</v>
      </c>
      <c r="C5" s="1">
        <v>3.3033E-2</v>
      </c>
      <c r="D5" s="1">
        <v>2.2636E-2</v>
      </c>
      <c r="E5" s="1">
        <v>1.2012E-2</v>
      </c>
      <c r="F5" s="1">
        <v>1.155E-3</v>
      </c>
      <c r="G5" s="1">
        <v>-9.9430000000000004E-3</v>
      </c>
      <c r="H5" s="1">
        <v>-2.1291000000000001E-2</v>
      </c>
      <c r="I5" s="1">
        <v>-3.2896000000000002E-2</v>
      </c>
      <c r="J5" s="1">
        <v>-4.4769000000000003E-2</v>
      </c>
      <c r="K5" s="1">
        <v>-5.6917000000000002E-2</v>
      </c>
      <c r="L5" s="1">
        <v>-6.9351999999999997E-2</v>
      </c>
      <c r="M5" s="1">
        <v>-0.12312000000000001</v>
      </c>
    </row>
    <row r="6" spans="1:13" x14ac:dyDescent="0.45">
      <c r="A6" s="3">
        <v>450</v>
      </c>
      <c r="B6" s="1">
        <v>7.2451000000000002E-2</v>
      </c>
      <c r="C6" s="1">
        <v>6.2584000000000001E-2</v>
      </c>
      <c r="D6" s="1">
        <v>5.2504000000000002E-2</v>
      </c>
      <c r="E6" s="1">
        <v>4.2204999999999999E-2</v>
      </c>
      <c r="F6" s="1">
        <v>3.168E-2</v>
      </c>
      <c r="G6" s="1">
        <v>2.0920999999999999E-2</v>
      </c>
      <c r="H6" s="1">
        <v>9.92E-3</v>
      </c>
      <c r="I6" s="1">
        <v>-1.3309999999999999E-3</v>
      </c>
      <c r="J6" s="1">
        <v>-1.2841E-2</v>
      </c>
      <c r="K6" s="1">
        <v>-2.4618000000000001E-2</v>
      </c>
      <c r="L6" s="1">
        <v>-3.6672000000000003E-2</v>
      </c>
      <c r="M6" s="1">
        <v>0.216803</v>
      </c>
    </row>
    <row r="7" spans="1:13" x14ac:dyDescent="0.45">
      <c r="A7" s="3">
        <v>500</v>
      </c>
      <c r="B7" s="1">
        <v>0.102145</v>
      </c>
      <c r="C7" s="1">
        <v>9.2592999999999995E-2</v>
      </c>
      <c r="D7" s="1">
        <v>8.2836000000000007E-2</v>
      </c>
      <c r="E7" s="1">
        <v>7.2867000000000001E-2</v>
      </c>
      <c r="F7" s="1">
        <v>6.2678999999999999E-2</v>
      </c>
      <c r="G7" s="1">
        <v>5.2263999999999998E-2</v>
      </c>
      <c r="H7" s="1">
        <v>4.1614999999999999E-2</v>
      </c>
      <c r="I7" s="1">
        <v>3.0724999999999999E-2</v>
      </c>
      <c r="J7" s="1">
        <v>1.9584000000000001E-2</v>
      </c>
      <c r="K7" s="1">
        <v>8.1829999999999993E-3</v>
      </c>
      <c r="L7" s="1">
        <v>-3.4849999999999998E-3</v>
      </c>
      <c r="M7" s="1">
        <v>0.56200600000000012</v>
      </c>
    </row>
    <row r="8" spans="1:13" x14ac:dyDescent="0.45">
      <c r="A8" s="3">
        <v>550</v>
      </c>
      <c r="B8" s="1">
        <v>0.13161200000000001</v>
      </c>
      <c r="C8" s="1">
        <v>0.122374</v>
      </c>
      <c r="D8" s="1">
        <v>0.112937</v>
      </c>
      <c r="E8" s="1">
        <v>0.103295</v>
      </c>
      <c r="F8" s="1">
        <v>9.3441999999999997E-2</v>
      </c>
      <c r="G8" s="1">
        <v>8.3368999999999999E-2</v>
      </c>
      <c r="H8" s="1">
        <v>7.3068999999999995E-2</v>
      </c>
      <c r="I8" s="1">
        <v>6.2535999999999994E-2</v>
      </c>
      <c r="J8" s="1">
        <v>5.1761000000000001E-2</v>
      </c>
      <c r="K8" s="1">
        <v>4.0735E-2</v>
      </c>
      <c r="L8" s="1">
        <v>2.9448999999999999E-2</v>
      </c>
      <c r="M8" s="1">
        <v>0.90457900000000013</v>
      </c>
    </row>
    <row r="9" spans="1:13" x14ac:dyDescent="0.45">
      <c r="A9" s="3">
        <v>600</v>
      </c>
      <c r="B9" s="1">
        <v>0.160411</v>
      </c>
      <c r="C9" s="1">
        <v>0.151479</v>
      </c>
      <c r="D9" s="1">
        <v>0.14235600000000001</v>
      </c>
      <c r="E9" s="1">
        <v>0.13303300000000001</v>
      </c>
      <c r="F9" s="1">
        <v>0.123506</v>
      </c>
      <c r="G9" s="1">
        <v>0.11376699999999999</v>
      </c>
      <c r="H9" s="1">
        <v>0.10381</v>
      </c>
      <c r="I9" s="1">
        <v>9.3626000000000001E-2</v>
      </c>
      <c r="J9" s="1">
        <v>8.3208000000000004E-2</v>
      </c>
      <c r="K9" s="1">
        <v>7.2547E-2</v>
      </c>
      <c r="L9" s="1">
        <v>6.1636000000000003E-2</v>
      </c>
      <c r="M9" s="1">
        <v>1.239379</v>
      </c>
    </row>
    <row r="10" spans="1:13" x14ac:dyDescent="0.45">
      <c r="A10" s="3">
        <v>650</v>
      </c>
      <c r="B10" s="1">
        <v>0.18826799999999999</v>
      </c>
      <c r="C10" s="1">
        <v>0.17963299999999999</v>
      </c>
      <c r="D10" s="1">
        <v>0.17081199999999999</v>
      </c>
      <c r="E10" s="1">
        <v>0.161799</v>
      </c>
      <c r="F10" s="1">
        <v>0.152588</v>
      </c>
      <c r="G10" s="1">
        <v>0.14317199999999999</v>
      </c>
      <c r="H10" s="1">
        <v>0.133545</v>
      </c>
      <c r="I10" s="1">
        <v>0.123699</v>
      </c>
      <c r="J10" s="1">
        <v>0.113626</v>
      </c>
      <c r="K10" s="1">
        <v>0.10332</v>
      </c>
      <c r="L10" s="1">
        <v>9.2771000000000006E-2</v>
      </c>
      <c r="M10" s="1">
        <v>1.5632329999999999</v>
      </c>
    </row>
    <row r="11" spans="1:13" x14ac:dyDescent="0.45">
      <c r="A11" s="3">
        <v>700</v>
      </c>
      <c r="B11" s="1">
        <v>0.215028</v>
      </c>
      <c r="C11" s="1">
        <v>0.206677</v>
      </c>
      <c r="D11" s="1">
        <v>0.19814699999999999</v>
      </c>
      <c r="E11" s="1">
        <v>0.18943099999999999</v>
      </c>
      <c r="F11" s="1">
        <v>0.18052399999999999</v>
      </c>
      <c r="G11" s="1">
        <v>0.17141799999999999</v>
      </c>
      <c r="H11" s="1">
        <v>0.162108</v>
      </c>
      <c r="I11" s="1">
        <v>0.152587</v>
      </c>
      <c r="J11" s="1">
        <v>0.142846</v>
      </c>
      <c r="K11" s="1">
        <v>0.13288</v>
      </c>
      <c r="L11" s="1">
        <v>0.122678</v>
      </c>
      <c r="M11" s="1">
        <v>1.8743240000000001</v>
      </c>
    </row>
    <row r="12" spans="1:13" x14ac:dyDescent="0.45">
      <c r="A12" s="3">
        <v>750</v>
      </c>
      <c r="B12" s="1">
        <v>0.24061199999999999</v>
      </c>
      <c r="C12" s="1">
        <v>0.23253399999999999</v>
      </c>
      <c r="D12" s="1">
        <v>0.22428100000000001</v>
      </c>
      <c r="E12" s="1">
        <v>0.21584999999999999</v>
      </c>
      <c r="F12" s="1">
        <v>0.207233</v>
      </c>
      <c r="G12" s="1">
        <v>0.19842399999999999</v>
      </c>
      <c r="H12" s="1">
        <v>0.189418</v>
      </c>
      <c r="I12" s="1">
        <v>0.18020600000000001</v>
      </c>
      <c r="J12" s="1">
        <v>0.17078299999999999</v>
      </c>
      <c r="K12" s="1">
        <v>0.16114100000000001</v>
      </c>
      <c r="L12" s="1">
        <v>0.15127199999999999</v>
      </c>
      <c r="M12" s="1">
        <v>2.171754</v>
      </c>
    </row>
    <row r="13" spans="1:13" x14ac:dyDescent="0.45">
      <c r="A13" s="3">
        <v>800</v>
      </c>
      <c r="B13" s="1">
        <v>0.26499699999999998</v>
      </c>
      <c r="C13" s="1">
        <v>0.25717800000000002</v>
      </c>
      <c r="D13" s="1">
        <v>0.24918999999999999</v>
      </c>
      <c r="E13" s="1">
        <v>0.24102899999999999</v>
      </c>
      <c r="F13" s="1">
        <v>0.23268900000000001</v>
      </c>
      <c r="G13" s="1">
        <v>0.224163</v>
      </c>
      <c r="H13" s="1">
        <v>0.215446</v>
      </c>
      <c r="I13" s="1">
        <v>0.20653099999999999</v>
      </c>
      <c r="J13" s="1">
        <v>0.19741</v>
      </c>
      <c r="K13" s="1">
        <v>0.188078</v>
      </c>
      <c r="L13" s="1">
        <v>0.17852599999999999</v>
      </c>
      <c r="M13" s="1">
        <v>2.4552370000000003</v>
      </c>
    </row>
    <row r="14" spans="1:13" x14ac:dyDescent="0.45">
      <c r="A14" s="3">
        <v>850</v>
      </c>
      <c r="B14" s="1">
        <v>0.28819099999999997</v>
      </c>
      <c r="C14" s="1">
        <v>0.28061900000000001</v>
      </c>
      <c r="D14" s="1">
        <v>0.27288299999999999</v>
      </c>
      <c r="E14" s="1">
        <v>0.26497999999999999</v>
      </c>
      <c r="F14" s="1">
        <v>0.25690299999999999</v>
      </c>
      <c r="G14" s="1">
        <v>0.24864600000000001</v>
      </c>
      <c r="H14" s="1">
        <v>0.240204</v>
      </c>
      <c r="I14" s="1">
        <v>0.23157</v>
      </c>
      <c r="J14" s="1">
        <v>0.22273699999999999</v>
      </c>
      <c r="K14" s="1">
        <v>0.213699</v>
      </c>
      <c r="L14" s="1">
        <v>0.20444899999999999</v>
      </c>
      <c r="M14" s="1">
        <v>2.7248809999999999</v>
      </c>
    </row>
    <row r="15" spans="1:13" x14ac:dyDescent="0.45">
      <c r="A15" s="3">
        <v>900</v>
      </c>
      <c r="B15" s="1">
        <v>0.310226</v>
      </c>
      <c r="C15" s="1">
        <v>0.30288799999999999</v>
      </c>
      <c r="D15" s="1">
        <v>0.29539300000000002</v>
      </c>
      <c r="E15" s="1">
        <v>0.28773399999999999</v>
      </c>
      <c r="F15" s="1">
        <v>0.27990700000000002</v>
      </c>
      <c r="G15" s="1">
        <v>0.27190599999999998</v>
      </c>
      <c r="H15" s="1">
        <v>0.26372499999999999</v>
      </c>
      <c r="I15" s="1">
        <v>0.25535799999999997</v>
      </c>
      <c r="J15" s="1">
        <v>0.24679899999999999</v>
      </c>
      <c r="K15" s="1">
        <v>0.238041</v>
      </c>
      <c r="L15" s="1">
        <v>0.229077</v>
      </c>
      <c r="M15" s="1">
        <v>2.9810540000000003</v>
      </c>
    </row>
    <row r="16" spans="1:13" x14ac:dyDescent="0.45">
      <c r="A16" s="3" t="s">
        <v>8</v>
      </c>
      <c r="B16" s="1">
        <v>2.0230670000000002</v>
      </c>
      <c r="C16" s="1">
        <v>1.9062929999999998</v>
      </c>
      <c r="D16" s="1">
        <v>1.787005</v>
      </c>
      <c r="E16" s="1">
        <v>1.665124</v>
      </c>
      <c r="F16" s="1">
        <v>1.5405679999999999</v>
      </c>
      <c r="G16" s="1">
        <v>1.413238</v>
      </c>
      <c r="H16" s="1">
        <v>1.28305</v>
      </c>
      <c r="I16" s="1">
        <v>1.149905</v>
      </c>
      <c r="J16" s="1">
        <v>1.0136940000000001</v>
      </c>
      <c r="K16" s="1">
        <v>0.87431999999999999</v>
      </c>
      <c r="L16" s="1">
        <v>0.73166500000000001</v>
      </c>
      <c r="M16" s="1">
        <v>15.387929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C39BC-3887-4473-B360-E0219627584D}">
  <dimension ref="A1:C144"/>
  <sheetViews>
    <sheetView workbookViewId="0">
      <selection activeCell="G22" sqref="G22"/>
    </sheetView>
  </sheetViews>
  <sheetFormatPr defaultRowHeight="14.25" x14ac:dyDescent="0.45"/>
  <cols>
    <col min="1" max="1" width="7.06640625" bestFit="1" customWidth="1"/>
    <col min="2" max="2" width="8.86328125" bestFit="1" customWidth="1"/>
    <col min="3" max="3" width="16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300</v>
      </c>
      <c r="B2">
        <v>0.05</v>
      </c>
      <c r="C2">
        <v>-9.5139999999999999E-3</v>
      </c>
    </row>
    <row r="3" spans="1:3" x14ac:dyDescent="0.45">
      <c r="A3">
        <v>300</v>
      </c>
      <c r="B3">
        <v>0.06</v>
      </c>
      <c r="C3">
        <v>-2.0253E-2</v>
      </c>
    </row>
    <row r="4" spans="1:3" x14ac:dyDescent="0.45">
      <c r="A4">
        <v>300</v>
      </c>
      <c r="B4">
        <v>7.0000000000000007E-2</v>
      </c>
      <c r="C4">
        <v>-3.1223999999999998E-2</v>
      </c>
    </row>
    <row r="5" spans="1:3" x14ac:dyDescent="0.45">
      <c r="A5">
        <v>300</v>
      </c>
      <c r="B5">
        <v>0.08</v>
      </c>
      <c r="C5">
        <v>-4.2432999999999998E-2</v>
      </c>
    </row>
    <row r="6" spans="1:3" x14ac:dyDescent="0.45">
      <c r="A6">
        <v>300</v>
      </c>
      <c r="B6">
        <v>0.09</v>
      </c>
      <c r="C6">
        <v>-5.3887999999999998E-2</v>
      </c>
    </row>
    <row r="7" spans="1:3" x14ac:dyDescent="0.45">
      <c r="A7">
        <v>300</v>
      </c>
      <c r="B7">
        <v>0.1</v>
      </c>
      <c r="C7">
        <v>-6.5598000000000004E-2</v>
      </c>
    </row>
    <row r="8" spans="1:3" x14ac:dyDescent="0.45">
      <c r="A8">
        <v>300</v>
      </c>
      <c r="B8">
        <v>0.11</v>
      </c>
      <c r="C8">
        <v>-7.7571000000000001E-2</v>
      </c>
    </row>
    <row r="9" spans="1:3" x14ac:dyDescent="0.45">
      <c r="A9">
        <v>300</v>
      </c>
      <c r="B9">
        <v>0.12</v>
      </c>
      <c r="C9">
        <v>-8.9816000000000007E-2</v>
      </c>
    </row>
    <row r="10" spans="1:3" x14ac:dyDescent="0.45">
      <c r="A10">
        <v>300</v>
      </c>
      <c r="B10">
        <v>0.13</v>
      </c>
      <c r="C10">
        <v>-0.102343</v>
      </c>
    </row>
    <row r="11" spans="1:3" x14ac:dyDescent="0.45">
      <c r="A11">
        <v>300</v>
      </c>
      <c r="B11">
        <v>0.14000000000000001</v>
      </c>
      <c r="C11">
        <v>-0.11516</v>
      </c>
    </row>
    <row r="12" spans="1:3" x14ac:dyDescent="0.45">
      <c r="A12">
        <v>300</v>
      </c>
      <c r="B12">
        <v>0.15</v>
      </c>
      <c r="C12">
        <v>-0.12828000000000001</v>
      </c>
    </row>
    <row r="13" spans="1:3" x14ac:dyDescent="0.45">
      <c r="A13">
        <v>350</v>
      </c>
      <c r="B13">
        <v>0.05</v>
      </c>
      <c r="C13">
        <v>1.5428000000000001E-2</v>
      </c>
    </row>
    <row r="14" spans="1:3" x14ac:dyDescent="0.45">
      <c r="A14">
        <v>350</v>
      </c>
      <c r="B14">
        <v>0.06</v>
      </c>
      <c r="C14">
        <v>4.9540000000000001E-3</v>
      </c>
    </row>
    <row r="15" spans="1:3" x14ac:dyDescent="0.45">
      <c r="A15">
        <v>350</v>
      </c>
      <c r="B15">
        <v>7.0000000000000007E-2</v>
      </c>
      <c r="C15">
        <v>-5.7460000000000002E-3</v>
      </c>
    </row>
    <row r="16" spans="1:3" x14ac:dyDescent="0.45">
      <c r="A16">
        <v>350</v>
      </c>
      <c r="B16">
        <v>0.08</v>
      </c>
      <c r="C16">
        <v>-1.6677999999999998E-2</v>
      </c>
    </row>
    <row r="17" spans="1:3" x14ac:dyDescent="0.45">
      <c r="A17">
        <v>350</v>
      </c>
      <c r="B17">
        <v>0.09</v>
      </c>
      <c r="C17">
        <v>-2.785E-2</v>
      </c>
    </row>
    <row r="18" spans="1:3" x14ac:dyDescent="0.45">
      <c r="A18">
        <v>350</v>
      </c>
      <c r="B18">
        <v>0.1</v>
      </c>
      <c r="C18">
        <v>-3.9271E-2</v>
      </c>
    </row>
    <row r="19" spans="1:3" x14ac:dyDescent="0.45">
      <c r="A19">
        <v>350</v>
      </c>
      <c r="B19">
        <v>0.11</v>
      </c>
      <c r="C19">
        <v>-5.0948E-2</v>
      </c>
    </row>
    <row r="20" spans="1:3" x14ac:dyDescent="0.45">
      <c r="A20">
        <v>350</v>
      </c>
      <c r="B20">
        <v>0.12</v>
      </c>
      <c r="C20">
        <v>-6.2890000000000001E-2</v>
      </c>
    </row>
    <row r="21" spans="1:3" x14ac:dyDescent="0.45">
      <c r="A21">
        <v>350</v>
      </c>
      <c r="B21">
        <v>0.13</v>
      </c>
      <c r="C21">
        <v>-7.5106999999999993E-2</v>
      </c>
    </row>
    <row r="22" spans="1:3" x14ac:dyDescent="0.45">
      <c r="A22">
        <v>350</v>
      </c>
      <c r="B22">
        <v>0.14000000000000001</v>
      </c>
      <c r="C22">
        <v>-8.7609000000000006E-2</v>
      </c>
    </row>
    <row r="23" spans="1:3" x14ac:dyDescent="0.45">
      <c r="A23">
        <v>350</v>
      </c>
      <c r="B23">
        <v>0.15</v>
      </c>
      <c r="C23">
        <v>-0.10040399999999999</v>
      </c>
    </row>
    <row r="24" spans="1:3" x14ac:dyDescent="0.45">
      <c r="A24">
        <v>400</v>
      </c>
      <c r="B24">
        <v>0.05</v>
      </c>
      <c r="C24">
        <v>4.3212E-2</v>
      </c>
    </row>
    <row r="25" spans="1:3" x14ac:dyDescent="0.45">
      <c r="A25">
        <v>400</v>
      </c>
      <c r="B25">
        <v>0.06</v>
      </c>
      <c r="C25">
        <v>3.3033E-2</v>
      </c>
    </row>
    <row r="26" spans="1:3" x14ac:dyDescent="0.45">
      <c r="A26">
        <v>400</v>
      </c>
      <c r="B26">
        <v>7.0000000000000007E-2</v>
      </c>
      <c r="C26">
        <v>2.2636E-2</v>
      </c>
    </row>
    <row r="27" spans="1:3" x14ac:dyDescent="0.45">
      <c r="A27">
        <v>400</v>
      </c>
      <c r="B27">
        <v>0.08</v>
      </c>
      <c r="C27">
        <v>1.2012E-2</v>
      </c>
    </row>
    <row r="28" spans="1:3" x14ac:dyDescent="0.45">
      <c r="A28">
        <v>400</v>
      </c>
      <c r="B28">
        <v>0.09</v>
      </c>
      <c r="C28">
        <v>1.155E-3</v>
      </c>
    </row>
    <row r="29" spans="1:3" x14ac:dyDescent="0.45">
      <c r="A29">
        <v>400</v>
      </c>
      <c r="B29">
        <v>0.1</v>
      </c>
      <c r="C29">
        <v>-9.9430000000000004E-3</v>
      </c>
    </row>
    <row r="30" spans="1:3" x14ac:dyDescent="0.45">
      <c r="A30">
        <v>400</v>
      </c>
      <c r="B30">
        <v>0.11</v>
      </c>
      <c r="C30">
        <v>-2.1291000000000001E-2</v>
      </c>
    </row>
    <row r="31" spans="1:3" x14ac:dyDescent="0.45">
      <c r="A31">
        <v>400</v>
      </c>
      <c r="B31">
        <v>0.12</v>
      </c>
      <c r="C31">
        <v>-3.2896000000000002E-2</v>
      </c>
    </row>
    <row r="32" spans="1:3" x14ac:dyDescent="0.45">
      <c r="A32">
        <v>400</v>
      </c>
      <c r="B32">
        <v>0.13</v>
      </c>
      <c r="C32">
        <v>-4.4769000000000003E-2</v>
      </c>
    </row>
    <row r="33" spans="1:3" x14ac:dyDescent="0.45">
      <c r="A33">
        <v>400</v>
      </c>
      <c r="B33">
        <v>0.14000000000000001</v>
      </c>
      <c r="C33">
        <v>-5.6917000000000002E-2</v>
      </c>
    </row>
    <row r="34" spans="1:3" x14ac:dyDescent="0.45">
      <c r="A34">
        <v>400</v>
      </c>
      <c r="B34">
        <v>0.15</v>
      </c>
      <c r="C34">
        <v>-6.9351999999999997E-2</v>
      </c>
    </row>
    <row r="35" spans="1:3" x14ac:dyDescent="0.45">
      <c r="A35">
        <v>450</v>
      </c>
      <c r="B35">
        <v>0.05</v>
      </c>
      <c r="C35">
        <v>7.2451000000000002E-2</v>
      </c>
    </row>
    <row r="36" spans="1:3" x14ac:dyDescent="0.45">
      <c r="A36">
        <v>450</v>
      </c>
      <c r="B36">
        <v>0.06</v>
      </c>
      <c r="C36">
        <v>6.2584000000000001E-2</v>
      </c>
    </row>
    <row r="37" spans="1:3" x14ac:dyDescent="0.45">
      <c r="A37">
        <v>450</v>
      </c>
      <c r="B37">
        <v>7.0000000000000007E-2</v>
      </c>
      <c r="C37">
        <v>5.2504000000000002E-2</v>
      </c>
    </row>
    <row r="38" spans="1:3" x14ac:dyDescent="0.45">
      <c r="A38">
        <v>450</v>
      </c>
      <c r="B38">
        <v>0.08</v>
      </c>
      <c r="C38">
        <v>4.2204999999999999E-2</v>
      </c>
    </row>
    <row r="39" spans="1:3" x14ac:dyDescent="0.45">
      <c r="A39">
        <v>450</v>
      </c>
      <c r="B39">
        <v>0.09</v>
      </c>
      <c r="C39">
        <v>3.168E-2</v>
      </c>
    </row>
    <row r="40" spans="1:3" x14ac:dyDescent="0.45">
      <c r="A40">
        <v>450</v>
      </c>
      <c r="B40">
        <v>0.1</v>
      </c>
      <c r="C40">
        <v>2.0920999999999999E-2</v>
      </c>
    </row>
    <row r="41" spans="1:3" x14ac:dyDescent="0.45">
      <c r="A41">
        <v>450</v>
      </c>
      <c r="B41">
        <v>0.11</v>
      </c>
      <c r="C41">
        <v>9.92E-3</v>
      </c>
    </row>
    <row r="42" spans="1:3" x14ac:dyDescent="0.45">
      <c r="A42">
        <v>450</v>
      </c>
      <c r="B42">
        <v>0.12</v>
      </c>
      <c r="C42">
        <v>-1.3309999999999999E-3</v>
      </c>
    </row>
    <row r="43" spans="1:3" x14ac:dyDescent="0.45">
      <c r="A43">
        <v>450</v>
      </c>
      <c r="B43">
        <v>0.13</v>
      </c>
      <c r="C43">
        <v>-1.2841E-2</v>
      </c>
    </row>
    <row r="44" spans="1:3" x14ac:dyDescent="0.45">
      <c r="A44">
        <v>450</v>
      </c>
      <c r="B44">
        <v>0.14000000000000001</v>
      </c>
      <c r="C44">
        <v>-2.4618000000000001E-2</v>
      </c>
    </row>
    <row r="45" spans="1:3" x14ac:dyDescent="0.45">
      <c r="A45">
        <v>450</v>
      </c>
      <c r="B45">
        <v>0.15</v>
      </c>
      <c r="C45">
        <v>-3.6672000000000003E-2</v>
      </c>
    </row>
    <row r="46" spans="1:3" x14ac:dyDescent="0.45">
      <c r="A46">
        <v>500</v>
      </c>
      <c r="B46">
        <v>0.05</v>
      </c>
      <c r="C46">
        <v>0.102145</v>
      </c>
    </row>
    <row r="47" spans="1:3" x14ac:dyDescent="0.45">
      <c r="A47">
        <v>500</v>
      </c>
      <c r="B47">
        <v>0.06</v>
      </c>
      <c r="C47">
        <v>9.2592999999999995E-2</v>
      </c>
    </row>
    <row r="48" spans="1:3" x14ac:dyDescent="0.45">
      <c r="A48">
        <v>500</v>
      </c>
      <c r="B48">
        <v>7.0000000000000007E-2</v>
      </c>
      <c r="C48">
        <v>8.2836000000000007E-2</v>
      </c>
    </row>
    <row r="49" spans="1:3" x14ac:dyDescent="0.45">
      <c r="A49">
        <v>500</v>
      </c>
      <c r="B49">
        <v>0.08</v>
      </c>
      <c r="C49">
        <v>7.2867000000000001E-2</v>
      </c>
    </row>
    <row r="50" spans="1:3" x14ac:dyDescent="0.45">
      <c r="A50">
        <v>500</v>
      </c>
      <c r="B50">
        <v>0.09</v>
      </c>
      <c r="C50">
        <v>6.2678999999999999E-2</v>
      </c>
    </row>
    <row r="51" spans="1:3" x14ac:dyDescent="0.45">
      <c r="A51">
        <v>500</v>
      </c>
      <c r="B51">
        <v>0.1</v>
      </c>
      <c r="C51">
        <v>5.2263999999999998E-2</v>
      </c>
    </row>
    <row r="52" spans="1:3" x14ac:dyDescent="0.45">
      <c r="A52">
        <v>500</v>
      </c>
      <c r="B52">
        <v>0.11</v>
      </c>
      <c r="C52">
        <v>4.1614999999999999E-2</v>
      </c>
    </row>
    <row r="53" spans="1:3" x14ac:dyDescent="0.45">
      <c r="A53">
        <v>500</v>
      </c>
      <c r="B53">
        <v>0.12</v>
      </c>
      <c r="C53">
        <v>3.0724999999999999E-2</v>
      </c>
    </row>
    <row r="54" spans="1:3" x14ac:dyDescent="0.45">
      <c r="A54">
        <v>500</v>
      </c>
      <c r="B54">
        <v>0.13</v>
      </c>
      <c r="C54">
        <v>1.9584000000000001E-2</v>
      </c>
    </row>
    <row r="55" spans="1:3" x14ac:dyDescent="0.45">
      <c r="A55">
        <v>500</v>
      </c>
      <c r="B55">
        <v>0.14000000000000001</v>
      </c>
      <c r="C55">
        <v>8.1829999999999993E-3</v>
      </c>
    </row>
    <row r="56" spans="1:3" x14ac:dyDescent="0.45">
      <c r="A56">
        <v>500</v>
      </c>
      <c r="B56">
        <v>0.15</v>
      </c>
      <c r="C56">
        <v>-3.4849999999999998E-3</v>
      </c>
    </row>
    <row r="57" spans="1:3" x14ac:dyDescent="0.45">
      <c r="A57">
        <v>550</v>
      </c>
      <c r="B57">
        <v>0.05</v>
      </c>
      <c r="C57">
        <v>0.13161200000000001</v>
      </c>
    </row>
    <row r="58" spans="1:3" x14ac:dyDescent="0.45">
      <c r="A58">
        <v>550</v>
      </c>
      <c r="B58">
        <v>0.06</v>
      </c>
      <c r="C58">
        <v>0.122374</v>
      </c>
    </row>
    <row r="59" spans="1:3" x14ac:dyDescent="0.45">
      <c r="A59">
        <v>550</v>
      </c>
      <c r="B59">
        <v>7.0000000000000007E-2</v>
      </c>
      <c r="C59">
        <v>0.112937</v>
      </c>
    </row>
    <row r="60" spans="1:3" x14ac:dyDescent="0.45">
      <c r="A60">
        <v>550</v>
      </c>
      <c r="B60">
        <v>0.08</v>
      </c>
      <c r="C60">
        <v>0.103295</v>
      </c>
    </row>
    <row r="61" spans="1:3" x14ac:dyDescent="0.45">
      <c r="A61">
        <v>550</v>
      </c>
      <c r="B61">
        <v>0.09</v>
      </c>
      <c r="C61">
        <v>9.3441999999999997E-2</v>
      </c>
    </row>
    <row r="62" spans="1:3" x14ac:dyDescent="0.45">
      <c r="A62">
        <v>550</v>
      </c>
      <c r="B62">
        <v>0.1</v>
      </c>
      <c r="C62">
        <v>8.3368999999999999E-2</v>
      </c>
    </row>
    <row r="63" spans="1:3" x14ac:dyDescent="0.45">
      <c r="A63">
        <v>550</v>
      </c>
      <c r="B63">
        <v>0.11</v>
      </c>
      <c r="C63">
        <v>7.3068999999999995E-2</v>
      </c>
    </row>
    <row r="64" spans="1:3" x14ac:dyDescent="0.45">
      <c r="A64">
        <v>550</v>
      </c>
      <c r="B64">
        <v>0.12</v>
      </c>
      <c r="C64">
        <v>6.2535999999999994E-2</v>
      </c>
    </row>
    <row r="65" spans="1:3" x14ac:dyDescent="0.45">
      <c r="A65">
        <v>550</v>
      </c>
      <c r="B65">
        <v>0.13</v>
      </c>
      <c r="C65">
        <v>5.1761000000000001E-2</v>
      </c>
    </row>
    <row r="66" spans="1:3" x14ac:dyDescent="0.45">
      <c r="A66">
        <v>550</v>
      </c>
      <c r="B66">
        <v>0.14000000000000001</v>
      </c>
      <c r="C66">
        <v>4.0735E-2</v>
      </c>
    </row>
    <row r="67" spans="1:3" x14ac:dyDescent="0.45">
      <c r="A67">
        <v>550</v>
      </c>
      <c r="B67">
        <v>0.15</v>
      </c>
      <c r="C67">
        <v>2.9448999999999999E-2</v>
      </c>
    </row>
    <row r="68" spans="1:3" x14ac:dyDescent="0.45">
      <c r="A68">
        <v>600</v>
      </c>
      <c r="B68">
        <v>0.05</v>
      </c>
      <c r="C68">
        <v>0.160411</v>
      </c>
    </row>
    <row r="69" spans="1:3" x14ac:dyDescent="0.45">
      <c r="A69">
        <v>600</v>
      </c>
      <c r="B69">
        <v>0.06</v>
      </c>
      <c r="C69">
        <v>0.151479</v>
      </c>
    </row>
    <row r="70" spans="1:3" x14ac:dyDescent="0.45">
      <c r="A70">
        <v>600</v>
      </c>
      <c r="B70">
        <v>7.0000000000000007E-2</v>
      </c>
      <c r="C70">
        <v>0.14235600000000001</v>
      </c>
    </row>
    <row r="71" spans="1:3" x14ac:dyDescent="0.45">
      <c r="A71">
        <v>600</v>
      </c>
      <c r="B71">
        <v>0.08</v>
      </c>
      <c r="C71">
        <v>0.13303300000000001</v>
      </c>
    </row>
    <row r="72" spans="1:3" x14ac:dyDescent="0.45">
      <c r="A72">
        <v>600</v>
      </c>
      <c r="B72">
        <v>0.09</v>
      </c>
      <c r="C72">
        <v>0.123506</v>
      </c>
    </row>
    <row r="73" spans="1:3" x14ac:dyDescent="0.45">
      <c r="A73">
        <v>600</v>
      </c>
      <c r="B73">
        <v>0.1</v>
      </c>
      <c r="C73">
        <v>0.11376699999999999</v>
      </c>
    </row>
    <row r="74" spans="1:3" x14ac:dyDescent="0.45">
      <c r="A74">
        <v>600</v>
      </c>
      <c r="B74">
        <v>0.11</v>
      </c>
      <c r="C74">
        <v>0.10381</v>
      </c>
    </row>
    <row r="75" spans="1:3" x14ac:dyDescent="0.45">
      <c r="A75">
        <v>600</v>
      </c>
      <c r="B75">
        <v>0.12</v>
      </c>
      <c r="C75">
        <v>9.3626000000000001E-2</v>
      </c>
    </row>
    <row r="76" spans="1:3" x14ac:dyDescent="0.45">
      <c r="A76">
        <v>600</v>
      </c>
      <c r="B76">
        <v>0.13</v>
      </c>
      <c r="C76">
        <v>8.3208000000000004E-2</v>
      </c>
    </row>
    <row r="77" spans="1:3" x14ac:dyDescent="0.45">
      <c r="A77">
        <v>600</v>
      </c>
      <c r="B77">
        <v>0.14000000000000001</v>
      </c>
      <c r="C77">
        <v>7.2547E-2</v>
      </c>
    </row>
    <row r="78" spans="1:3" x14ac:dyDescent="0.45">
      <c r="A78">
        <v>600</v>
      </c>
      <c r="B78">
        <v>0.15</v>
      </c>
      <c r="C78">
        <v>6.1636000000000003E-2</v>
      </c>
    </row>
    <row r="79" spans="1:3" x14ac:dyDescent="0.45">
      <c r="A79">
        <v>650</v>
      </c>
      <c r="B79">
        <v>0.05</v>
      </c>
      <c r="C79">
        <v>0.18826799999999999</v>
      </c>
    </row>
    <row r="80" spans="1:3" x14ac:dyDescent="0.45">
      <c r="A80">
        <v>650</v>
      </c>
      <c r="B80">
        <v>0.06</v>
      </c>
      <c r="C80">
        <v>0.17963299999999999</v>
      </c>
    </row>
    <row r="81" spans="1:3" x14ac:dyDescent="0.45">
      <c r="A81">
        <v>650</v>
      </c>
      <c r="B81">
        <v>7.0000000000000007E-2</v>
      </c>
      <c r="C81">
        <v>0.17081199999999999</v>
      </c>
    </row>
    <row r="82" spans="1:3" x14ac:dyDescent="0.45">
      <c r="A82">
        <v>650</v>
      </c>
      <c r="B82">
        <v>0.08</v>
      </c>
      <c r="C82">
        <v>0.161799</v>
      </c>
    </row>
    <row r="83" spans="1:3" x14ac:dyDescent="0.45">
      <c r="A83">
        <v>650</v>
      </c>
      <c r="B83">
        <v>0.09</v>
      </c>
      <c r="C83">
        <v>0.152588</v>
      </c>
    </row>
    <row r="84" spans="1:3" x14ac:dyDescent="0.45">
      <c r="A84">
        <v>650</v>
      </c>
      <c r="B84">
        <v>0.1</v>
      </c>
      <c r="C84">
        <v>0.14317199999999999</v>
      </c>
    </row>
    <row r="85" spans="1:3" x14ac:dyDescent="0.45">
      <c r="A85">
        <v>650</v>
      </c>
      <c r="B85">
        <v>0.11</v>
      </c>
      <c r="C85">
        <v>0.133545</v>
      </c>
    </row>
    <row r="86" spans="1:3" x14ac:dyDescent="0.45">
      <c r="A86">
        <v>650</v>
      </c>
      <c r="B86">
        <v>0.12</v>
      </c>
      <c r="C86">
        <v>0.123699</v>
      </c>
    </row>
    <row r="87" spans="1:3" x14ac:dyDescent="0.45">
      <c r="A87">
        <v>650</v>
      </c>
      <c r="B87">
        <v>0.13</v>
      </c>
      <c r="C87">
        <v>0.113626</v>
      </c>
    </row>
    <row r="88" spans="1:3" x14ac:dyDescent="0.45">
      <c r="A88">
        <v>650</v>
      </c>
      <c r="B88">
        <v>0.14000000000000001</v>
      </c>
      <c r="C88">
        <v>0.10332</v>
      </c>
    </row>
    <row r="89" spans="1:3" x14ac:dyDescent="0.45">
      <c r="A89">
        <v>650</v>
      </c>
      <c r="B89">
        <v>0.15</v>
      </c>
      <c r="C89">
        <v>9.2771000000000006E-2</v>
      </c>
    </row>
    <row r="90" spans="1:3" x14ac:dyDescent="0.45">
      <c r="A90">
        <v>700</v>
      </c>
      <c r="B90">
        <v>0.05</v>
      </c>
      <c r="C90">
        <v>0.215028</v>
      </c>
    </row>
    <row r="91" spans="1:3" x14ac:dyDescent="0.45">
      <c r="A91">
        <v>700</v>
      </c>
      <c r="B91">
        <v>0.06</v>
      </c>
      <c r="C91">
        <v>0.206677</v>
      </c>
    </row>
    <row r="92" spans="1:3" x14ac:dyDescent="0.45">
      <c r="A92">
        <v>700</v>
      </c>
      <c r="B92">
        <v>7.0000000000000007E-2</v>
      </c>
      <c r="C92">
        <v>0.19814699999999999</v>
      </c>
    </row>
    <row r="93" spans="1:3" x14ac:dyDescent="0.45">
      <c r="A93">
        <v>700</v>
      </c>
      <c r="B93">
        <v>0.08</v>
      </c>
      <c r="C93">
        <v>0.18943099999999999</v>
      </c>
    </row>
    <row r="94" spans="1:3" x14ac:dyDescent="0.45">
      <c r="A94">
        <v>700</v>
      </c>
      <c r="B94">
        <v>0.09</v>
      </c>
      <c r="C94">
        <v>0.18052399999999999</v>
      </c>
    </row>
    <row r="95" spans="1:3" x14ac:dyDescent="0.45">
      <c r="A95">
        <v>700</v>
      </c>
      <c r="B95">
        <v>0.1</v>
      </c>
      <c r="C95">
        <v>0.17141799999999999</v>
      </c>
    </row>
    <row r="96" spans="1:3" x14ac:dyDescent="0.45">
      <c r="A96">
        <v>700</v>
      </c>
      <c r="B96">
        <v>0.11</v>
      </c>
      <c r="C96">
        <v>0.162108</v>
      </c>
    </row>
    <row r="97" spans="1:3" x14ac:dyDescent="0.45">
      <c r="A97">
        <v>700</v>
      </c>
      <c r="B97">
        <v>0.12</v>
      </c>
      <c r="C97">
        <v>0.152587</v>
      </c>
    </row>
    <row r="98" spans="1:3" x14ac:dyDescent="0.45">
      <c r="A98">
        <v>700</v>
      </c>
      <c r="B98">
        <v>0.13</v>
      </c>
      <c r="C98">
        <v>0.142846</v>
      </c>
    </row>
    <row r="99" spans="1:3" x14ac:dyDescent="0.45">
      <c r="A99">
        <v>700</v>
      </c>
      <c r="B99">
        <v>0.14000000000000001</v>
      </c>
      <c r="C99">
        <v>0.13288</v>
      </c>
    </row>
    <row r="100" spans="1:3" x14ac:dyDescent="0.45">
      <c r="A100">
        <v>700</v>
      </c>
      <c r="B100">
        <v>0.15</v>
      </c>
      <c r="C100">
        <v>0.122678</v>
      </c>
    </row>
    <row r="101" spans="1:3" x14ac:dyDescent="0.45">
      <c r="A101">
        <v>750</v>
      </c>
      <c r="B101">
        <v>0.05</v>
      </c>
      <c r="C101">
        <v>0.24061199999999999</v>
      </c>
    </row>
    <row r="102" spans="1:3" x14ac:dyDescent="0.45">
      <c r="A102">
        <v>750</v>
      </c>
      <c r="B102">
        <v>0.06</v>
      </c>
      <c r="C102">
        <v>0.23253399999999999</v>
      </c>
    </row>
    <row r="103" spans="1:3" x14ac:dyDescent="0.45">
      <c r="A103">
        <v>750</v>
      </c>
      <c r="B103">
        <v>7.0000000000000007E-2</v>
      </c>
      <c r="C103">
        <v>0.22428100000000001</v>
      </c>
    </row>
    <row r="104" spans="1:3" x14ac:dyDescent="0.45">
      <c r="A104">
        <v>750</v>
      </c>
      <c r="B104">
        <v>0.08</v>
      </c>
      <c r="C104">
        <v>0.21584999999999999</v>
      </c>
    </row>
    <row r="105" spans="1:3" x14ac:dyDescent="0.45">
      <c r="A105">
        <v>750</v>
      </c>
      <c r="B105">
        <v>0.09</v>
      </c>
      <c r="C105">
        <v>0.207233</v>
      </c>
    </row>
    <row r="106" spans="1:3" x14ac:dyDescent="0.45">
      <c r="A106">
        <v>750</v>
      </c>
      <c r="B106">
        <v>0.1</v>
      </c>
      <c r="C106">
        <v>0.19842399999999999</v>
      </c>
    </row>
    <row r="107" spans="1:3" x14ac:dyDescent="0.45">
      <c r="A107">
        <v>750</v>
      </c>
      <c r="B107">
        <v>0.11</v>
      </c>
      <c r="C107">
        <v>0.189418</v>
      </c>
    </row>
    <row r="108" spans="1:3" x14ac:dyDescent="0.45">
      <c r="A108">
        <v>750</v>
      </c>
      <c r="B108">
        <v>0.12</v>
      </c>
      <c r="C108">
        <v>0.18020600000000001</v>
      </c>
    </row>
    <row r="109" spans="1:3" x14ac:dyDescent="0.45">
      <c r="A109">
        <v>750</v>
      </c>
      <c r="B109">
        <v>0.13</v>
      </c>
      <c r="C109">
        <v>0.17078299999999999</v>
      </c>
    </row>
    <row r="110" spans="1:3" x14ac:dyDescent="0.45">
      <c r="A110">
        <v>750</v>
      </c>
      <c r="B110">
        <v>0.14000000000000001</v>
      </c>
      <c r="C110">
        <v>0.16114100000000001</v>
      </c>
    </row>
    <row r="111" spans="1:3" x14ac:dyDescent="0.45">
      <c r="A111">
        <v>750</v>
      </c>
      <c r="B111">
        <v>0.15</v>
      </c>
      <c r="C111">
        <v>0.15127199999999999</v>
      </c>
    </row>
    <row r="112" spans="1:3" x14ac:dyDescent="0.45">
      <c r="A112">
        <v>800</v>
      </c>
      <c r="B112">
        <v>0.05</v>
      </c>
      <c r="C112">
        <v>0.26499699999999998</v>
      </c>
    </row>
    <row r="113" spans="1:3" x14ac:dyDescent="0.45">
      <c r="A113">
        <v>800</v>
      </c>
      <c r="B113">
        <v>0.06</v>
      </c>
      <c r="C113">
        <v>0.25717800000000002</v>
      </c>
    </row>
    <row r="114" spans="1:3" x14ac:dyDescent="0.45">
      <c r="A114">
        <v>800</v>
      </c>
      <c r="B114">
        <v>7.0000000000000007E-2</v>
      </c>
      <c r="C114">
        <v>0.24918999999999999</v>
      </c>
    </row>
    <row r="115" spans="1:3" x14ac:dyDescent="0.45">
      <c r="A115">
        <v>800</v>
      </c>
      <c r="B115">
        <v>0.08</v>
      </c>
      <c r="C115">
        <v>0.24102899999999999</v>
      </c>
    </row>
    <row r="116" spans="1:3" x14ac:dyDescent="0.45">
      <c r="A116">
        <v>800</v>
      </c>
      <c r="B116">
        <v>0.09</v>
      </c>
      <c r="C116">
        <v>0.23268900000000001</v>
      </c>
    </row>
    <row r="117" spans="1:3" x14ac:dyDescent="0.45">
      <c r="A117">
        <v>800</v>
      </c>
      <c r="B117">
        <v>0.1</v>
      </c>
      <c r="C117">
        <v>0.224163</v>
      </c>
    </row>
    <row r="118" spans="1:3" x14ac:dyDescent="0.45">
      <c r="A118">
        <v>800</v>
      </c>
      <c r="B118">
        <v>0.11</v>
      </c>
      <c r="C118">
        <v>0.215446</v>
      </c>
    </row>
    <row r="119" spans="1:3" x14ac:dyDescent="0.45">
      <c r="A119">
        <v>800</v>
      </c>
      <c r="B119">
        <v>0.12</v>
      </c>
      <c r="C119">
        <v>0.20653099999999999</v>
      </c>
    </row>
    <row r="120" spans="1:3" x14ac:dyDescent="0.45">
      <c r="A120">
        <v>800</v>
      </c>
      <c r="B120">
        <v>0.13</v>
      </c>
      <c r="C120">
        <v>0.19741</v>
      </c>
    </row>
    <row r="121" spans="1:3" x14ac:dyDescent="0.45">
      <c r="A121">
        <v>800</v>
      </c>
      <c r="B121">
        <v>0.14000000000000001</v>
      </c>
      <c r="C121">
        <v>0.188078</v>
      </c>
    </row>
    <row r="122" spans="1:3" x14ac:dyDescent="0.45">
      <c r="A122">
        <v>800</v>
      </c>
      <c r="B122">
        <v>0.15</v>
      </c>
      <c r="C122">
        <v>0.17852599999999999</v>
      </c>
    </row>
    <row r="123" spans="1:3" x14ac:dyDescent="0.45">
      <c r="A123">
        <v>850</v>
      </c>
      <c r="B123">
        <v>0.05</v>
      </c>
      <c r="C123">
        <v>0.28819099999999997</v>
      </c>
    </row>
    <row r="124" spans="1:3" x14ac:dyDescent="0.45">
      <c r="A124">
        <v>850</v>
      </c>
      <c r="B124">
        <v>0.06</v>
      </c>
      <c r="C124">
        <v>0.28061900000000001</v>
      </c>
    </row>
    <row r="125" spans="1:3" x14ac:dyDescent="0.45">
      <c r="A125">
        <v>850</v>
      </c>
      <c r="B125">
        <v>7.0000000000000007E-2</v>
      </c>
      <c r="C125">
        <v>0.27288299999999999</v>
      </c>
    </row>
    <row r="126" spans="1:3" x14ac:dyDescent="0.45">
      <c r="A126">
        <v>850</v>
      </c>
      <c r="B126">
        <v>0.08</v>
      </c>
      <c r="C126">
        <v>0.26497999999999999</v>
      </c>
    </row>
    <row r="127" spans="1:3" x14ac:dyDescent="0.45">
      <c r="A127">
        <v>850</v>
      </c>
      <c r="B127">
        <v>0.09</v>
      </c>
      <c r="C127">
        <v>0.25690299999999999</v>
      </c>
    </row>
    <row r="128" spans="1:3" x14ac:dyDescent="0.45">
      <c r="A128">
        <v>850</v>
      </c>
      <c r="B128">
        <v>0.1</v>
      </c>
      <c r="C128">
        <v>0.24864600000000001</v>
      </c>
    </row>
    <row r="129" spans="1:3" x14ac:dyDescent="0.45">
      <c r="A129">
        <v>850</v>
      </c>
      <c r="B129">
        <v>0.11</v>
      </c>
      <c r="C129">
        <v>0.240204</v>
      </c>
    </row>
    <row r="130" spans="1:3" x14ac:dyDescent="0.45">
      <c r="A130">
        <v>850</v>
      </c>
      <c r="B130">
        <v>0.12</v>
      </c>
      <c r="C130">
        <v>0.23157</v>
      </c>
    </row>
    <row r="131" spans="1:3" x14ac:dyDescent="0.45">
      <c r="A131">
        <v>850</v>
      </c>
      <c r="B131">
        <v>0.13</v>
      </c>
      <c r="C131">
        <v>0.22273699999999999</v>
      </c>
    </row>
    <row r="132" spans="1:3" x14ac:dyDescent="0.45">
      <c r="A132">
        <v>850</v>
      </c>
      <c r="B132">
        <v>0.14000000000000001</v>
      </c>
      <c r="C132">
        <v>0.213699</v>
      </c>
    </row>
    <row r="133" spans="1:3" x14ac:dyDescent="0.45">
      <c r="A133">
        <v>850</v>
      </c>
      <c r="B133">
        <v>0.15</v>
      </c>
      <c r="C133">
        <v>0.20444899999999999</v>
      </c>
    </row>
    <row r="134" spans="1:3" x14ac:dyDescent="0.45">
      <c r="A134">
        <v>900</v>
      </c>
      <c r="B134">
        <v>0.05</v>
      </c>
      <c r="C134">
        <v>0.310226</v>
      </c>
    </row>
    <row r="135" spans="1:3" x14ac:dyDescent="0.45">
      <c r="A135">
        <v>900</v>
      </c>
      <c r="B135">
        <v>0.06</v>
      </c>
      <c r="C135">
        <v>0.30288799999999999</v>
      </c>
    </row>
    <row r="136" spans="1:3" x14ac:dyDescent="0.45">
      <c r="A136">
        <v>900</v>
      </c>
      <c r="B136">
        <v>7.0000000000000007E-2</v>
      </c>
      <c r="C136">
        <v>0.29539300000000002</v>
      </c>
    </row>
    <row r="137" spans="1:3" x14ac:dyDescent="0.45">
      <c r="A137">
        <v>900</v>
      </c>
      <c r="B137">
        <v>0.08</v>
      </c>
      <c r="C137">
        <v>0.28773399999999999</v>
      </c>
    </row>
    <row r="138" spans="1:3" x14ac:dyDescent="0.45">
      <c r="A138">
        <v>900</v>
      </c>
      <c r="B138">
        <v>0.09</v>
      </c>
      <c r="C138">
        <v>0.27990700000000002</v>
      </c>
    </row>
    <row r="139" spans="1:3" x14ac:dyDescent="0.45">
      <c r="A139">
        <v>900</v>
      </c>
      <c r="B139">
        <v>0.1</v>
      </c>
      <c r="C139">
        <v>0.27190599999999998</v>
      </c>
    </row>
    <row r="140" spans="1:3" x14ac:dyDescent="0.45">
      <c r="A140">
        <v>900</v>
      </c>
      <c r="B140">
        <v>0.11</v>
      </c>
      <c r="C140">
        <v>0.26372499999999999</v>
      </c>
    </row>
    <row r="141" spans="1:3" x14ac:dyDescent="0.45">
      <c r="A141">
        <v>900</v>
      </c>
      <c r="B141">
        <v>0.12</v>
      </c>
      <c r="C141">
        <v>0.25535799999999997</v>
      </c>
    </row>
    <row r="142" spans="1:3" x14ac:dyDescent="0.45">
      <c r="A142">
        <v>900</v>
      </c>
      <c r="B142">
        <v>0.13</v>
      </c>
      <c r="C142">
        <v>0.24679899999999999</v>
      </c>
    </row>
    <row r="143" spans="1:3" x14ac:dyDescent="0.45">
      <c r="A143">
        <v>900</v>
      </c>
      <c r="B143">
        <v>0.14000000000000001</v>
      </c>
      <c r="C143">
        <v>0.238041</v>
      </c>
    </row>
    <row r="144" spans="1:3" x14ac:dyDescent="0.45">
      <c r="A144">
        <v>900</v>
      </c>
      <c r="B144">
        <v>0.15</v>
      </c>
      <c r="C144">
        <v>0.229077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B7A21-3B4E-458D-8BBC-8F54069E6383}">
  <dimension ref="A1:E5"/>
  <sheetViews>
    <sheetView workbookViewId="0">
      <selection activeCell="B6" sqref="B6"/>
    </sheetView>
  </sheetViews>
  <sheetFormatPr defaultRowHeight="14.25" x14ac:dyDescent="0.45"/>
  <cols>
    <col min="1" max="1" width="14.6640625" customWidth="1"/>
    <col min="2" max="2" width="11.46484375" customWidth="1"/>
    <col min="3" max="3" width="13.06640625" customWidth="1"/>
  </cols>
  <sheetData>
    <row r="1" spans="1:5" x14ac:dyDescent="0.45">
      <c r="A1" t="s">
        <v>3</v>
      </c>
      <c r="B1">
        <v>9400</v>
      </c>
    </row>
    <row r="2" spans="1:5" x14ac:dyDescent="0.45">
      <c r="A2" t="s">
        <v>4</v>
      </c>
      <c r="B2">
        <v>9.8066499999999994</v>
      </c>
    </row>
    <row r="3" spans="1:5" x14ac:dyDescent="0.45">
      <c r="A3" t="s">
        <v>5</v>
      </c>
      <c r="B3">
        <v>450</v>
      </c>
      <c r="C3" t="s">
        <v>6</v>
      </c>
      <c r="D3">
        <v>800</v>
      </c>
      <c r="E3" t="s">
        <v>11</v>
      </c>
    </row>
    <row r="4" spans="1:5" x14ac:dyDescent="0.45">
      <c r="A4" t="s">
        <v>1</v>
      </c>
      <c r="B4">
        <v>0.1</v>
      </c>
    </row>
    <row r="5" spans="1:5" x14ac:dyDescent="0.45">
      <c r="A5" t="s">
        <v>2</v>
      </c>
      <c r="B5">
        <f>(EXP(-B1/(B3*B2))-B4)/(1-B4)</f>
        <v>2.0920573343576439E-2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4E6D2F-0949-4A54-BE95-7C890CCE2F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Pivot Analysis</vt:lpstr>
      <vt:lpstr>Comparison</vt:lpstr>
      <vt:lpstr>Surface Plot</vt:lpstr>
      <vt:lpstr>ssto_results</vt:lpstr>
      <vt:lpstr>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Nunu NASA</dc:creator>
  <cp:lastModifiedBy>Nunu NASA</cp:lastModifiedBy>
  <dcterms:created xsi:type="dcterms:W3CDTF">2026-02-19T16:52:39Z</dcterms:created>
  <dcterms:modified xsi:type="dcterms:W3CDTF">2026-02-19T19:08:56Z</dcterms:modified>
</cp:coreProperties>
</file>